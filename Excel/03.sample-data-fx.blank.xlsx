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Excel\"/>
    </mc:Choice>
  </mc:AlternateContent>
  <xr:revisionPtr revIDLastSave="0" documentId="13_ncr:1_{08575AA5-4BBB-4B31-830D-29A6A5086DD9}" xr6:coauthVersionLast="47" xr6:coauthVersionMax="47" xr10:uidLastSave="{00000000-0000-0000-0000-000000000000}"/>
  <bookViews>
    <workbookView xWindow="-108" yWindow="-108" windowWidth="23256" windowHeight="12456" activeTab="3" xr2:uid="{26D4546B-D2A1-4444-8EAF-A6228F96F0C1}"/>
  </bookViews>
  <sheets>
    <sheet name="Concepts" sheetId="2" r:id="rId1"/>
    <sheet name="Data" sheetId="1" r:id="rId2"/>
    <sheet name="SUMifs COuntifs" sheetId="3" r:id="rId3"/>
    <sheet name="Fil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4" l="1" a="1"/>
  <c r="AH2" i="4" a="1"/>
  <c r="Z2" i="4" a="1"/>
  <c r="Z3" i="4" a="1"/>
  <c r="Q3" i="4" a="1"/>
  <c r="Q2" i="4" a="1"/>
  <c r="B2" i="4" a="1"/>
  <c r="B3" i="4" a="1"/>
  <c r="F3" i="3" a="1"/>
  <c r="E3" i="3" a="1"/>
  <c r="D3" i="3" a="1"/>
  <c r="C3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<sst xmlns="http://schemas.openxmlformats.org/spreadsheetml/2006/main" count="2405" uniqueCount="776">
  <si>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</si>
  <si>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</si>
  <si>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</si>
  <si>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</si>
  <si>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</si>
  <si>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</si>
  <si>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</si>
  <si>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</si>
  <si>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</si>
  <si>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</si>
  <si>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</si>
  <si>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</si>
  <si>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</si>
  <si>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</si>
  <si>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</si>
  <si>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</si>
  <si>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</si>
  <si>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</si>
  <si>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</si>
  <si>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</si>
  <si>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</si>
  <si>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</si>
  <si>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</si>
  <si>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</si>
  <si>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</si>
  <si>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</si>
  <si>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</si>
  <si>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</si>
  <si>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</si>
  <si>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</si>
  <si>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</si>
  <si>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</si>
  <si>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</si>
  <si>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</si>
  <si>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</si>
  <si>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</si>
  <si>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</si>
  <si>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</si>
  <si>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</si>
  <si>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</si>
  <si>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</si>
  <si>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</si>
  <si>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</si>
  <si>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</si>
  <si>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</si>
  <si>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</si>
  <si>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</si>
  <si>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</si>
  <si>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</si>
  <si>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</si>
  <si>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</si>
  <si>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</si>
  <si>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</si>
  <si>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</si>
  <si>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</si>
  <si>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</si>
  <si>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</si>
  <si>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</si>
  <si>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</si>
  <si>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</si>
  <si>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</si>
  <si>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</si>
  <si>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</si>
  <si>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</si>
  <si>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</si>
  <si>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</si>
  <si>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</si>
  <si>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</si>
  <si>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</si>
  <si>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</si>
  <si>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</si>
  <si>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</si>
  <si>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</si>
  <si>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</si>
  <si>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</si>
  <si>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</si>
  <si>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</si>
  <si>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</si>
  <si>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</si>
  <si>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</si>
  <si>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</si>
  <si>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</si>
  <si>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</si>
  <si>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</si>
  <si>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</si>
  <si>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</si>
  <si>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</si>
  <si>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</si>
  <si>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</si>
  <si>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</si>
  <si>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</si>
  <si>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</si>
  <si>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</si>
  <si>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</si>
  <si>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</si>
  <si>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</si>
  <si>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</si>
  <si>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</si>
  <si>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</si>
  <si>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</si>
  <si>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</si>
  <si>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</si>
  <si>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</si>
  <si>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</si>
  <si>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</si>
  <si>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</si>
  <si>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</si>
  <si>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</si>
  <si>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</si>
  <si>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</si>
  <si>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</si>
  <si>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</si>
  <si>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</si>
  <si>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</si>
  <si>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</si>
  <si>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</si>
  <si>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</si>
  <si>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</si>
  <si>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</si>
  <si>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</si>
  <si>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</si>
  <si>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</si>
  <si>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</si>
  <si>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</si>
  <si>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</si>
  <si>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</si>
  <si>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</si>
  <si>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</si>
  <si>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</si>
  <si>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</si>
  <si>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</si>
  <si>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</si>
  <si>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</si>
  <si>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</si>
  <si>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</si>
  <si>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</si>
  <si>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</si>
  <si>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</si>
  <si>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</si>
  <si>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</si>
  <si>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</si>
  <si>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</si>
  <si>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</si>
  <si>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</si>
  <si>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</si>
  <si>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</si>
  <si>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</si>
  <si>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</si>
  <si>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</si>
  <si>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</si>
  <si>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</si>
  <si>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</si>
  <si>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</si>
  <si>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</si>
  <si>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</si>
  <si>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</si>
  <si>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</si>
  <si>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</si>
  <si>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</si>
  <si>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</si>
  <si>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</si>
  <si>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</si>
  <si>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</si>
  <si>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</si>
  <si>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</si>
  <si>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</si>
  <si>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</si>
  <si>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</si>
  <si>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</si>
  <si>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</si>
  <si>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</si>
  <si>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</si>
  <si>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</si>
  <si>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</si>
  <si>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</si>
  <si>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</si>
  <si>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</si>
  <si>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</si>
  <si>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</si>
  <si>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</si>
  <si>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</si>
  <si>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</si>
  <si>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</si>
  <si>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</si>
  <si>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</si>
  <si>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</si>
  <si>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</si>
  <si>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</si>
  <si>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</si>
  <si>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</si>
  <si>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</si>
  <si>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</si>
  <si>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</si>
  <si>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</si>
  <si>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</si>
  <si>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</si>
  <si>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</si>
  <si>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</si>
  <si>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</si>
  <si>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</si>
  <si>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</si>
  <si>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</si>
  <si>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</si>
  <si>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</si>
  <si>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</si>
  <si>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</si>
  <si>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</si>
  <si>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</si>
  <si>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</si>
  <si>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</si>
  <si>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</si>
  <si>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</si>
  <si>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</si>
  <si>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</si>
  <si>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</si>
  <si>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</si>
  <si>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</si>
  <si>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</si>
  <si>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</si>
  <si>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</si>
  <si>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</si>
  <si>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</si>
  <si>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</si>
  <si>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</si>
  <si>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</si>
  <si>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</si>
  <si>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</si>
  <si>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</si>
  <si>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</si>
  <si>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</si>
  <si>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</si>
  <si>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</si>
  <si>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</si>
  <si>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</si>
  <si>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</si>
  <si>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</si>
  <si>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</si>
  <si>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</si>
  <si>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</si>
  <si>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</si>
  <si>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</si>
  <si>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</si>
  <si>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</si>
  <si>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</si>
  <si>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</si>
  <si>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</si>
  <si>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</si>
  <si>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</si>
  <si>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</si>
  <si>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</si>
  <si>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</si>
  <si>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</si>
  <si>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</si>
  <si>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</si>
  <si>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</si>
  <si>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</si>
  <si>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</si>
  <si>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</si>
  <si>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</si>
  <si>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</si>
  <si>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</si>
  <si>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</si>
  <si>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</si>
  <si>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</si>
  <si>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</si>
  <si>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</si>
  <si>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</si>
  <si>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</si>
  <si>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</si>
  <si>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</si>
  <si>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</si>
  <si>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</si>
  <si>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</si>
  <si>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</si>
  <si>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</si>
  <si>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</si>
  <si>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</si>
  <si>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</si>
  <si>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</si>
  <si>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</si>
  <si>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</si>
  <si>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</si>
  <si>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</si>
  <si>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</si>
  <si>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</si>
  <si>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</si>
  <si>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</si>
  <si>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</si>
  <si>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</si>
  <si>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</si>
  <si>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</si>
  <si>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</si>
  <si>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</si>
  <si>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</si>
  <si>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</si>
  <si>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</si>
  <si>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</si>
  <si>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</si>
  <si>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</si>
  <si>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</si>
  <si>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</si>
  <si>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</si>
  <si>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</si>
  <si>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</si>
  <si>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</si>
  <si>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</si>
  <si>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</si>
  <si>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</si>
  <si>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</si>
  <si>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</si>
  <si>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</si>
  <si>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</si>
  <si>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</si>
  <si>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</si>
  <si>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</si>
  <si>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</si>
  <si>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</si>
  <si>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</si>
  <si>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</si>
  <si>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</si>
  <si>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</si>
  <si>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</si>
  <si>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</si>
  <si>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</si>
  <si>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</si>
  <si>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</si>
  <si>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</si>
  <si>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</si>
  <si>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</si>
  <si>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</si>
  <si>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</si>
  <si>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</si>
  <si>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</si>
  <si>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</si>
  <si>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</si>
  <si>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</si>
  <si>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</si>
  <si>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</si>
  <si>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</si>
  <si>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</si>
  <si>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</si>
  <si>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</si>
  <si>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</si>
  <si>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</si>
  <si>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</si>
  <si>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</si>
  <si>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</si>
  <si>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</si>
  <si>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</si>
  <si>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</si>
  <si>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</si>
  <si>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</si>
  <si>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</si>
  <si>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</si>
  <si>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</si>
  <si>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</si>
  <si>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</si>
  <si>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</si>
  <si>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</si>
  <si>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</si>
  <si>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</si>
  <si>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</si>
  <si>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</si>
  <si>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</si>
  <si>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</si>
  <si>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</si>
  <si>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</si>
  <si>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</si>
  <si>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</si>
  <si>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</si>
  <si>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</si>
  <si>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</si>
  <si>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</si>
  <si>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</si>
  <si>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</si>
  <si>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</si>
  <si>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</si>
  <si>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</si>
  <si>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</si>
  <si>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</si>
  <si>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</si>
  <si>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</si>
  <si>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</si>
  <si>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</si>
  <si>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</si>
  <si>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</si>
  <si>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</si>
  <si>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</si>
  <si>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</si>
  <si>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</si>
  <si>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</si>
  <si>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</si>
  <si>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</si>
  <si>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</si>
  <si>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</si>
  <si>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</si>
  <si>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</si>
  <si>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</si>
  <si>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</si>
  <si>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</si>
  <si>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</si>
  <si>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</si>
  <si>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</si>
  <si>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</si>
  <si>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</si>
  <si>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</si>
  <si>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</si>
  <si>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</si>
  <si>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</si>
  <si>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</si>
  <si>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</si>
  <si>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</si>
  <si>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</si>
  <si>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</si>
  <si>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</si>
  <si>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</si>
  <si>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</si>
  <si>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</si>
  <si>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</si>
  <si>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</si>
  <si>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</si>
  <si>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</si>
  <si>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</si>
  <si>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</si>
  <si>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</si>
  <si>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</si>
  <si>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</si>
  <si>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</si>
  <si>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</si>
  <si>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</si>
  <si>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</si>
  <si>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</si>
  <si>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</si>
  <si>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</si>
  <si>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</si>
  <si>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</si>
  <si>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</si>
  <si>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</si>
  <si>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</si>
  <si>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</si>
  <si>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</si>
  <si>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</si>
  <si>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</si>
  <si>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</si>
  <si>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</si>
  <si>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</si>
  <si>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</si>
  <si>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</si>
  <si>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</si>
  <si>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</si>
  <si>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</si>
  <si>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</si>
  <si>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</si>
  <si>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</si>
  <si>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</si>
  <si>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</si>
  <si>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</si>
  <si>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</si>
  <si>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</si>
  <si>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</si>
  <si>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</si>
  <si>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</si>
  <si>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</si>
  <si>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</si>
  <si>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</si>
  <si>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</si>
  <si>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</si>
  <si>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</si>
  <si>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</si>
  <si>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</si>
  <si>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</si>
  <si>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</si>
  <si>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</si>
  <si>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</si>
  <si>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</si>
  <si>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</si>
  <si>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</si>
  <si>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</si>
  <si>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</si>
  <si>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</si>
  <si>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</si>
  <si>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</si>
  <si>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</si>
  <si>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</si>
  <si>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</si>
  <si>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</si>
  <si>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</si>
  <si>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</si>
  <si>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</si>
  <si>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</si>
  <si>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</si>
  <si>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</si>
  <si>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</si>
  <si>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</si>
  <si>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</si>
  <si>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</si>
  <si>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</si>
  <si>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</si>
  <si>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</si>
  <si>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</si>
  <si>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</si>
  <si>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</si>
  <si>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</si>
  <si>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</si>
  <si>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</si>
  <si>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</si>
  <si>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</si>
  <si>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</si>
  <si>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</si>
  <si>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</si>
  <si>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</si>
  <si>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</si>
  <si>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</si>
  <si>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</si>
  <si>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</si>
  <si>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</si>
  <si>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</si>
  <si>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</si>
  <si>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</si>
  <si>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</si>
  <si>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</si>
  <si>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</si>
  <si>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</si>
  <si>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</si>
  <si>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</si>
  <si>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</si>
  <si>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</si>
  <si>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</si>
  <si>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</si>
  <si>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</si>
  <si>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</si>
  <si>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</si>
  <si>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</si>
  <si>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</si>
  <si>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</si>
  <si>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</si>
  <si>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</si>
  <si>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</si>
  <si>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</si>
  <si>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</si>
  <si>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</si>
  <si>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</si>
  <si>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</si>
  <si>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</si>
  <si>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</si>
  <si>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</si>
  <si>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</si>
  <si>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</si>
  <si>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</si>
  <si>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</si>
  <si>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</si>
  <si>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</si>
  <si>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</si>
  <si>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</si>
  <si>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</si>
  <si>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</si>
  <si>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</si>
  <si>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</si>
  <si>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</si>
  <si>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</si>
  <si>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</si>
  <si>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</si>
  <si>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</si>
  <si>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</si>
  <si>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</si>
  <si>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</si>
  <si>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</si>
  <si>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</si>
  <si>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</si>
  <si>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</si>
  <si>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</si>
  <si>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</si>
  <si>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</si>
  <si>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</si>
  <si>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</si>
  <si>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</si>
  <si>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</si>
  <si>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</si>
  <si>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</si>
  <si>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</si>
  <si>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</si>
  <si>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</si>
  <si>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</si>
  <si>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</si>
  <si>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</si>
  <si>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</si>
  <si>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</si>
  <si>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</si>
  <si>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</si>
  <si>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</si>
  <si>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</si>
  <si>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</si>
  <si>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</si>
  <si>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</si>
  <si>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</si>
  <si>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</si>
  <si>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</si>
  <si>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</si>
  <si>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</si>
  <si>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</si>
  <si>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</si>
  <si>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</si>
  <si>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</si>
  <si>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</si>
  <si>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</si>
  <si>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</si>
  <si>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</si>
  <si>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</si>
  <si>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</si>
  <si>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</si>
  <si>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</si>
  <si>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</si>
  <si>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</si>
  <si>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</si>
  <si>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</si>
  <si>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</si>
  <si>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</si>
  <si>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</si>
  <si>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</si>
  <si>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</si>
  <si>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</si>
  <si>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</si>
  <si>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</si>
  <si>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</si>
  <si>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</si>
  <si>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</si>
  <si>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</si>
  <si>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</si>
  <si>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</si>
  <si>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</si>
  <si>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</si>
  <si>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</si>
  <si>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</si>
  <si>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</si>
  <si>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</si>
  <si>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</si>
  <si>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</si>
  <si>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</si>
  <si>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</si>
  <si>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</si>
  <si>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</si>
  <si>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</si>
  <si>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</si>
  <si>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</si>
  <si>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</si>
  <si>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</si>
  <si>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</si>
  <si>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</si>
  <si>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</si>
  <si>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</si>
  <si>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</si>
  <si>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</si>
  <si>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</si>
  <si>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</si>
  <si>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</si>
  <si>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</si>
  <si>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</si>
  <si>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</si>
  <si>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</si>
  <si>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</si>
  <si>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</si>
  <si>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</si>
  <si>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</si>
  <si>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</si>
  <si>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</si>
  <si>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</si>
  <si>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</si>
  <si>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</si>
  <si>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</si>
  <si>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</si>
  <si>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</si>
  <si>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</si>
  <si>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</si>
  <si>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</si>
  <si>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</si>
  <si>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</si>
  <si>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</si>
  <si>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</si>
  <si>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</si>
  <si>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</si>
  <si>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</si>
  <si>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</si>
  <si>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</si>
  <si>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</si>
  <si>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</si>
  <si>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</si>
  <si>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</si>
  <si>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</si>
  <si>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</si>
  <si>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</si>
  <si>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</si>
  <si>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</si>
  <si>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</si>
  <si>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</si>
  <si>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</si>
  <si>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</si>
  <si>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</si>
  <si>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</si>
  <si>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</si>
  <si>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</si>
  <si>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</si>
  <si>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</si>
  <si>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</si>
  <si>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</si>
  <si>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</si>
  <si>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</si>
  <si>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</si>
  <si>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</si>
  <si>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</si>
  <si>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</si>
  <si>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</si>
  <si>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</si>
  <si>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</si>
  <si>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</si>
  <si>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</si>
  <si>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</si>
  <si>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</si>
  <si>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</si>
  <si>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</si>
  <si>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</si>
  <si>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</si>
  <si>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</si>
  <si>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</si>
  <si>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</si>
  <si>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</si>
  <si>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</si>
  <si>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</si>
  <si>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</si>
  <si>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</si>
  <si>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</si>
  <si>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</si>
  <si>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</si>
  <si>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</si>
  <si>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</si>
  <si>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</si>
  <si>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</si>
  <si>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</si>
  <si>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</si>
  <si>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</si>
  <si>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</si>
  <si>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</si>
  <si>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</si>
  <si>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</si>
  <si>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</si>
  <si>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</si>
  <si>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</si>
  <si>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</si>
  <si>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</si>
  <si>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</si>
  <si>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</si>
  <si>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</si>
  <si>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</si>
  <si>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</si>
  <si>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</si>
  <si>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</si>
  <si>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</si>
  <si>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</si>
  <si>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</si>
  <si>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</si>
  <si>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</si>
  <si>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</si>
  <si>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</si>
  <si>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</si>
  <si>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</si>
  <si>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</si>
  <si>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</si>
  <si>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</si>
  <si>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</si>
  <si>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>Headcount</t>
  </si>
  <si>
    <t>Total salary</t>
  </si>
  <si>
    <t>Average salary</t>
  </si>
  <si>
    <t>Permanent People count</t>
  </si>
  <si>
    <t>All Employee with &gt;100k salary</t>
  </si>
  <si>
    <t>All employees with &gt;100k salary col 1 2 3 5 6</t>
  </si>
  <si>
    <t>All females of the same condition</t>
  </si>
  <si>
    <t>All same but joined after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</si>
</sst>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6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6" borderId="0" xfId="0" applyFont="1" applyFill="1"/>
    <xf numFmtId="164" fontId="0" fillId="0" borderId="0" xfId="0" applyNumberFormat="1"/>
    <xf numFmtId="164" fontId="5" fillId="6" borderId="0" xfId="0" applyNumberFormat="1" applyFont="1" applyFill="1"/>
    <xf numFmtId="0" fontId="6" fillId="0" borderId="0" xfId="0" applyFont="1"/>
    <xf numFmtId="14" fontId="6" fillId="0" borderId="0" xfId="0" applyNumberFormat="1" applyFont="1"/>
    <xf numFmtId="14" fontId="0" fillId="0" borderId="0" xfId="0" applyNumberFormat="1"/>
    <xf numFmtId="0" fontId="0" fillId="6" borderId="0" xfId="0" applyFill="1"/>
    <xf numFmtId="14" fontId="0" fillId="6" borderId="0" xfId="0" applyNumberFormat="1" applyFill="1"/>
    <xf numFmtId="0" fontId="0" fillId="7" borderId="0" xfId="0" applyFill="1"/>
  </cellXfs>
  <cellStyles count="1"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5" formatCode="d\-mmm\-yy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1</xdr:row>
      <xdr:rowOff>182880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>
    <filterColumn colId="5">
      <customFilters>
        <customFilter operator="greaterThanOrEqual" val="100000"/>
      </customFilters>
    </filterColumn>
  </autoFilter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A3" zoomScale="124" zoomScaleNormal="145" workbookViewId="0">
      <selection activeCell="D17" sqref="D17"/>
    </sheetView>
  </sheetViews>
  <sheetFormatPr defaultRowHeight="14.4" x14ac:dyDescent="0.3"/>
  <cols>
    <col min="1" max="1" width="1.6640625" customWidth="1"/>
    <col min="2" max="2" width="3.6640625" customWidth="1"/>
    <col min="3" max="3" width="4.5546875" customWidth="1"/>
    <col min="4" max="4" width="48.109375" customWidth="1"/>
    <col min="5" max="5" width="6" customWidth="1"/>
    <col min="6" max="6" width="37.44140625" customWidth="1"/>
    <col min="7" max="7" width="36.1093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15.5546875" customWidth="1"/>
    <col min="14" max="14" width="13.44140625" bestFit="1" customWidth="1"/>
    <col min="15" max="15" width="12.6640625" customWidth="1"/>
  </cols>
  <sheetData>
    <row r="1" spans="1:14" s="2" customFormat="1" ht="52.5" customHeight="1" x14ac:dyDescent="0.3">
      <c r="A1" s="1"/>
      <c r="C1" s="3" t="s">
        <v>739</v>
      </c>
    </row>
    <row r="5" spans="1:14" ht="21" customHeight="1" x14ac:dyDescent="0.3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3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3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3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3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3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3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3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3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3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28.8" x14ac:dyDescent="0.3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3">
      <c r="H16" s="5"/>
      <c r="J16" s="6"/>
      <c r="N16" s="4"/>
    </row>
    <row r="17" spans="8:14" x14ac:dyDescent="0.3">
      <c r="H17" s="5"/>
      <c r="J17" s="6"/>
      <c r="N17" s="4"/>
    </row>
    <row r="18" spans="8:14" x14ac:dyDescent="0.3">
      <c r="H18" s="5"/>
      <c r="J18" s="6"/>
      <c r="N18" s="4"/>
    </row>
    <row r="19" spans="8:14" x14ac:dyDescent="0.3">
      <c r="H19" s="5"/>
      <c r="J19" s="6"/>
      <c r="N19" s="4"/>
    </row>
    <row r="20" spans="8:14" x14ac:dyDescent="0.3">
      <c r="H20" s="5"/>
      <c r="J20" s="6"/>
      <c r="N20" s="4"/>
    </row>
    <row r="21" spans="8:14" x14ac:dyDescent="0.3">
      <c r="H21" s="5"/>
      <c r="J21" s="6"/>
      <c r="N21" s="4"/>
    </row>
    <row r="22" spans="8:14" x14ac:dyDescent="0.3">
      <c r="H22" s="5"/>
      <c r="J22" s="6"/>
      <c r="N22" s="4"/>
    </row>
    <row r="23" spans="8:14" x14ac:dyDescent="0.3">
      <c r="H23" s="5"/>
      <c r="J23" s="6"/>
      <c r="N23" s="4"/>
    </row>
    <row r="24" spans="8:14" x14ac:dyDescent="0.3">
      <c r="H24" s="5"/>
      <c r="J24" s="6"/>
      <c r="N24" s="4"/>
    </row>
    <row r="25" spans="8:14" x14ac:dyDescent="0.3">
      <c r="H25" s="5"/>
      <c r="J25" s="6"/>
      <c r="N25" s="4"/>
    </row>
    <row r="26" spans="8:14" x14ac:dyDescent="0.3">
      <c r="H26" s="5"/>
      <c r="J26" s="6"/>
      <c r="N26" s="4"/>
    </row>
    <row r="27" spans="8:14" x14ac:dyDescent="0.3">
      <c r="H27" s="5"/>
      <c r="J27" s="6"/>
      <c r="N27" s="4"/>
    </row>
    <row r="28" spans="8:14" x14ac:dyDescent="0.3">
      <c r="H28" s="5"/>
      <c r="J28" s="6"/>
      <c r="N28" s="4"/>
    </row>
    <row r="29" spans="8:14" x14ac:dyDescent="0.3">
      <c r="H29" s="5"/>
      <c r="J29" s="6"/>
      <c r="N29" s="4"/>
    </row>
    <row r="30" spans="8:14" x14ac:dyDescent="0.3">
      <c r="H30" s="5"/>
      <c r="J30" s="6"/>
      <c r="N30" s="4"/>
    </row>
    <row r="31" spans="8:14" x14ac:dyDescent="0.3">
      <c r="H31" s="5"/>
      <c r="J31" s="6"/>
      <c r="N31" s="4"/>
    </row>
    <row r="32" spans="8:14" x14ac:dyDescent="0.3">
      <c r="H32" s="5"/>
      <c r="J32" s="6"/>
      <c r="N32" s="4"/>
    </row>
    <row r="33" spans="8:14" x14ac:dyDescent="0.3">
      <c r="H33" s="5"/>
      <c r="J33" s="6"/>
      <c r="N33" s="4"/>
    </row>
    <row r="34" spans="8:14" x14ac:dyDescent="0.3">
      <c r="H34" s="5"/>
      <c r="J34" s="6"/>
      <c r="N34" s="4"/>
    </row>
    <row r="35" spans="8:14" x14ac:dyDescent="0.3">
      <c r="H35" s="5"/>
      <c r="J35" s="6"/>
      <c r="N35" s="4"/>
    </row>
    <row r="36" spans="8:14" x14ac:dyDescent="0.3">
      <c r="H36" s="5"/>
      <c r="J36" s="6"/>
      <c r="N36" s="4"/>
    </row>
    <row r="37" spans="8:14" x14ac:dyDescent="0.3">
      <c r="H37" s="5"/>
      <c r="J37" s="6"/>
      <c r="N37" s="4"/>
    </row>
    <row r="38" spans="8:14" x14ac:dyDescent="0.3">
      <c r="H38" s="5"/>
      <c r="J38" s="6"/>
      <c r="N38" s="4"/>
    </row>
    <row r="39" spans="8:14" x14ac:dyDescent="0.3">
      <c r="H39" s="5"/>
      <c r="J39" s="6"/>
      <c r="N39" s="4"/>
    </row>
    <row r="40" spans="8:14" x14ac:dyDescent="0.3">
      <c r="H40" s="5"/>
      <c r="J40" s="6"/>
      <c r="N40" s="4"/>
    </row>
    <row r="41" spans="8:14" x14ac:dyDescent="0.3">
      <c r="H41" s="5"/>
      <c r="J41" s="6"/>
      <c r="N41" s="4"/>
    </row>
    <row r="42" spans="8:14" x14ac:dyDescent="0.3">
      <c r="H42" s="5"/>
      <c r="J42" s="6"/>
      <c r="N42" s="4"/>
    </row>
    <row r="43" spans="8:14" x14ac:dyDescent="0.3">
      <c r="H43" s="5"/>
      <c r="J43" s="6"/>
      <c r="N43" s="4"/>
    </row>
    <row r="44" spans="8:14" x14ac:dyDescent="0.3">
      <c r="H44" s="5"/>
      <c r="J44" s="6"/>
      <c r="N44" s="4"/>
    </row>
    <row r="45" spans="8:14" x14ac:dyDescent="0.3">
      <c r="H45" s="5"/>
      <c r="J45" s="6"/>
      <c r="N45" s="4"/>
    </row>
    <row r="46" spans="8:14" x14ac:dyDescent="0.3">
      <c r="H46" s="5"/>
      <c r="J46" s="6"/>
      <c r="N46" s="4"/>
    </row>
    <row r="47" spans="8:14" x14ac:dyDescent="0.3">
      <c r="H47" s="5"/>
      <c r="J47" s="6"/>
      <c r="N47" s="4"/>
    </row>
    <row r="48" spans="8:14" x14ac:dyDescent="0.3">
      <c r="H48" s="5"/>
      <c r="J48" s="6"/>
      <c r="N48" s="4"/>
    </row>
    <row r="49" spans="8:14" x14ac:dyDescent="0.3">
      <c r="H49" s="5"/>
      <c r="J49" s="6"/>
      <c r="N49" s="4"/>
    </row>
    <row r="50" spans="8:14" x14ac:dyDescent="0.3">
      <c r="H50" s="5"/>
      <c r="J50" s="6"/>
      <c r="N50" s="4"/>
    </row>
    <row r="51" spans="8:14" x14ac:dyDescent="0.3">
      <c r="H51" s="5"/>
      <c r="J51" s="6"/>
      <c r="N51" s="4"/>
    </row>
    <row r="52" spans="8:14" x14ac:dyDescent="0.3">
      <c r="H52" s="5"/>
      <c r="J52" s="6"/>
      <c r="N52" s="4"/>
    </row>
    <row r="53" spans="8:14" x14ac:dyDescent="0.3">
      <c r="H53" s="5"/>
      <c r="J53" s="6"/>
      <c r="N53" s="4"/>
    </row>
    <row r="54" spans="8:14" x14ac:dyDescent="0.3">
      <c r="H54" s="5"/>
      <c r="J54" s="6"/>
      <c r="N54" s="4"/>
    </row>
    <row r="55" spans="8:14" x14ac:dyDescent="0.3">
      <c r="H55" s="5"/>
      <c r="J55" s="6"/>
      <c r="N55" s="4"/>
    </row>
    <row r="56" spans="8:14" x14ac:dyDescent="0.3">
      <c r="H56" s="5"/>
      <c r="J56" s="6"/>
      <c r="N56" s="4"/>
    </row>
    <row r="57" spans="8:14" x14ac:dyDescent="0.3">
      <c r="H57" s="5"/>
      <c r="J57" s="6"/>
      <c r="N57" s="4"/>
    </row>
    <row r="58" spans="8:14" x14ac:dyDescent="0.3">
      <c r="H58" s="5"/>
      <c r="J58" s="6"/>
      <c r="N58" s="4"/>
    </row>
    <row r="59" spans="8:14" x14ac:dyDescent="0.3">
      <c r="H59" s="5"/>
      <c r="J59" s="6"/>
      <c r="N59" s="4"/>
    </row>
    <row r="60" spans="8:14" x14ac:dyDescent="0.3">
      <c r="H60" s="5"/>
      <c r="J60" s="6"/>
      <c r="N60" s="4"/>
    </row>
    <row r="61" spans="8:14" x14ac:dyDescent="0.3">
      <c r="H61" s="5"/>
      <c r="J61" s="6"/>
      <c r="N61" s="4"/>
    </row>
    <row r="62" spans="8:14" x14ac:dyDescent="0.3">
      <c r="H62" s="5"/>
      <c r="J62" s="6"/>
      <c r="N62" s="4"/>
    </row>
    <row r="63" spans="8:14" x14ac:dyDescent="0.3">
      <c r="H63" s="5"/>
      <c r="J63" s="6"/>
      <c r="N63" s="4"/>
    </row>
    <row r="64" spans="8:14" x14ac:dyDescent="0.3">
      <c r="H64" s="5"/>
      <c r="J64" s="6"/>
      <c r="N64" s="4"/>
    </row>
    <row r="65" spans="8:14" x14ac:dyDescent="0.3">
      <c r="H65" s="5"/>
      <c r="J65" s="6"/>
      <c r="N65" s="4"/>
    </row>
    <row r="66" spans="8:14" x14ac:dyDescent="0.3">
      <c r="H66" s="5"/>
      <c r="J66" s="6"/>
      <c r="N66" s="4"/>
    </row>
    <row r="67" spans="8:14" x14ac:dyDescent="0.3">
      <c r="H67" s="5"/>
      <c r="J67" s="6"/>
      <c r="N67" s="4"/>
    </row>
    <row r="68" spans="8:14" x14ac:dyDescent="0.3">
      <c r="H68" s="5"/>
      <c r="J68" s="6"/>
      <c r="N68" s="4"/>
    </row>
    <row r="69" spans="8:14" x14ac:dyDescent="0.3">
      <c r="H69" s="5"/>
      <c r="J69" s="6"/>
      <c r="N69" s="4"/>
    </row>
    <row r="70" spans="8:14" x14ac:dyDescent="0.3">
      <c r="H70" s="5"/>
      <c r="J70" s="6"/>
      <c r="N70" s="4"/>
    </row>
    <row r="71" spans="8:14" x14ac:dyDescent="0.3">
      <c r="H71" s="5"/>
      <c r="J71" s="6"/>
      <c r="N71" s="4"/>
    </row>
    <row r="72" spans="8:14" x14ac:dyDescent="0.3">
      <c r="H72" s="5"/>
      <c r="J72" s="6"/>
      <c r="N72" s="4"/>
    </row>
    <row r="73" spans="8:14" x14ac:dyDescent="0.3">
      <c r="H73" s="5"/>
      <c r="J73" s="6"/>
      <c r="N73" s="4"/>
    </row>
    <row r="74" spans="8:14" x14ac:dyDescent="0.3">
      <c r="H74" s="5"/>
      <c r="J74" s="6"/>
      <c r="N74" s="4"/>
    </row>
    <row r="75" spans="8:14" x14ac:dyDescent="0.3">
      <c r="H75" s="5"/>
      <c r="J75" s="6"/>
      <c r="N75" s="4"/>
    </row>
    <row r="76" spans="8:14" x14ac:dyDescent="0.3">
      <c r="H76" s="5"/>
      <c r="J76" s="6"/>
      <c r="N76" s="4"/>
    </row>
    <row r="77" spans="8:14" x14ac:dyDescent="0.3">
      <c r="H77" s="5"/>
      <c r="J77" s="6"/>
      <c r="N77" s="4"/>
    </row>
    <row r="78" spans="8:14" x14ac:dyDescent="0.3">
      <c r="H78" s="5"/>
      <c r="J78" s="6"/>
      <c r="N78" s="4"/>
    </row>
    <row r="79" spans="8:14" x14ac:dyDescent="0.3">
      <c r="H79" s="5"/>
      <c r="J79" s="6"/>
      <c r="N79" s="4"/>
    </row>
    <row r="80" spans="8:14" x14ac:dyDescent="0.3">
      <c r="H80" s="5"/>
      <c r="J80" s="6"/>
      <c r="N80" s="4"/>
    </row>
    <row r="81" spans="8:14" x14ac:dyDescent="0.3">
      <c r="H81" s="5"/>
      <c r="J81" s="6"/>
      <c r="N81" s="4"/>
    </row>
    <row r="82" spans="8:14" x14ac:dyDescent="0.3">
      <c r="H82" s="5"/>
      <c r="J82" s="6"/>
      <c r="N82" s="4"/>
    </row>
    <row r="83" spans="8:14" x14ac:dyDescent="0.3">
      <c r="H83" s="5"/>
      <c r="J83" s="6"/>
      <c r="N83" s="4"/>
    </row>
    <row r="84" spans="8:14" x14ac:dyDescent="0.3">
      <c r="H84" s="5"/>
      <c r="J84" s="6"/>
      <c r="N84" s="4"/>
    </row>
    <row r="85" spans="8:14" x14ac:dyDescent="0.3">
      <c r="H85" s="5"/>
      <c r="J85" s="6"/>
      <c r="N85" s="4"/>
    </row>
    <row r="86" spans="8:14" x14ac:dyDescent="0.3">
      <c r="H86" s="5"/>
      <c r="J86" s="6"/>
      <c r="N86" s="4"/>
    </row>
    <row r="87" spans="8:14" x14ac:dyDescent="0.3">
      <c r="H87" s="5"/>
      <c r="J87" s="6"/>
      <c r="N87" s="4"/>
    </row>
    <row r="88" spans="8:14" x14ac:dyDescent="0.3">
      <c r="H88" s="5"/>
      <c r="J88" s="6"/>
      <c r="N88" s="4"/>
    </row>
    <row r="89" spans="8:14" x14ac:dyDescent="0.3">
      <c r="H89" s="5"/>
      <c r="J89" s="6"/>
      <c r="N89" s="4"/>
    </row>
    <row r="90" spans="8:14" x14ac:dyDescent="0.3">
      <c r="H90" s="5"/>
      <c r="J90" s="6"/>
      <c r="N90" s="4"/>
    </row>
    <row r="91" spans="8:14" x14ac:dyDescent="0.3">
      <c r="H91" s="5"/>
      <c r="J91" s="6"/>
      <c r="N91" s="4"/>
    </row>
    <row r="92" spans="8:14" x14ac:dyDescent="0.3">
      <c r="H92" s="5"/>
      <c r="J92" s="6"/>
      <c r="N92" s="4"/>
    </row>
    <row r="93" spans="8:14" x14ac:dyDescent="0.3">
      <c r="H93" s="5"/>
      <c r="J93" s="6"/>
      <c r="N93" s="4"/>
    </row>
    <row r="94" spans="8:14" x14ac:dyDescent="0.3">
      <c r="H94" s="5"/>
      <c r="J94" s="6"/>
      <c r="N94" s="4"/>
    </row>
    <row r="95" spans="8:14" x14ac:dyDescent="0.3">
      <c r="H95" s="5"/>
      <c r="J95" s="6"/>
      <c r="N95" s="4"/>
    </row>
    <row r="96" spans="8:14" x14ac:dyDescent="0.3">
      <c r="H96" s="5"/>
      <c r="J96" s="6"/>
      <c r="N96" s="4"/>
    </row>
    <row r="97" spans="8:14" x14ac:dyDescent="0.3">
      <c r="H97" s="5"/>
      <c r="J97" s="6"/>
      <c r="N97" s="4"/>
    </row>
    <row r="98" spans="8:14" x14ac:dyDescent="0.3">
      <c r="H98" s="5"/>
      <c r="J98" s="6"/>
      <c r="N98" s="4"/>
    </row>
    <row r="99" spans="8:14" x14ac:dyDescent="0.3">
      <c r="H99" s="5"/>
      <c r="J99" s="6"/>
      <c r="N99" s="4"/>
    </row>
    <row r="100" spans="8:14" x14ac:dyDescent="0.3">
      <c r="H100" s="5"/>
      <c r="J100" s="6"/>
      <c r="N100" s="4"/>
    </row>
    <row r="101" spans="8:14" x14ac:dyDescent="0.3">
      <c r="H101" s="5"/>
      <c r="J101" s="6"/>
      <c r="N101" s="4"/>
    </row>
    <row r="102" spans="8:14" x14ac:dyDescent="0.3">
      <c r="H102" s="5"/>
      <c r="J102" s="6"/>
      <c r="N102" s="4"/>
    </row>
    <row r="103" spans="8:14" x14ac:dyDescent="0.3">
      <c r="H103" s="5"/>
      <c r="J103" s="6"/>
      <c r="N103" s="4"/>
    </row>
    <row r="104" spans="8:14" x14ac:dyDescent="0.3">
      <c r="H104" s="5"/>
      <c r="J104" s="6"/>
      <c r="N104" s="4"/>
    </row>
    <row r="105" spans="8:14" x14ac:dyDescent="0.3">
      <c r="H105" s="5"/>
      <c r="J105" s="6"/>
      <c r="N105" s="4"/>
    </row>
    <row r="106" spans="8:14" x14ac:dyDescent="0.3">
      <c r="H106" s="5"/>
      <c r="J106" s="6"/>
      <c r="N106" s="4"/>
    </row>
    <row r="107" spans="8:14" x14ac:dyDescent="0.3">
      <c r="H107" s="5"/>
      <c r="J107" s="6"/>
      <c r="N107" s="4"/>
    </row>
    <row r="108" spans="8:14" x14ac:dyDescent="0.3">
      <c r="H108" s="5"/>
      <c r="J108" s="6"/>
      <c r="N108" s="4"/>
    </row>
    <row r="109" spans="8:14" x14ac:dyDescent="0.3">
      <c r="H109" s="5"/>
      <c r="J109" s="6"/>
      <c r="N109" s="4"/>
    </row>
    <row r="110" spans="8:14" x14ac:dyDescent="0.3">
      <c r="H110" s="5"/>
      <c r="J110" s="6"/>
      <c r="N110" s="4"/>
    </row>
    <row r="111" spans="8:14" x14ac:dyDescent="0.3">
      <c r="H111" s="5"/>
      <c r="J111" s="6"/>
      <c r="N111" s="4"/>
    </row>
    <row r="112" spans="8:14" x14ac:dyDescent="0.3">
      <c r="H112" s="5"/>
      <c r="J112" s="6"/>
      <c r="N112" s="4"/>
    </row>
    <row r="113" spans="8:14" x14ac:dyDescent="0.3">
      <c r="H113" s="5"/>
      <c r="J113" s="6"/>
      <c r="N113" s="4"/>
    </row>
    <row r="114" spans="8:14" x14ac:dyDescent="0.3">
      <c r="H114" s="5"/>
      <c r="J114" s="6"/>
      <c r="N114" s="4"/>
    </row>
    <row r="115" spans="8:14" x14ac:dyDescent="0.3">
      <c r="H115" s="5"/>
      <c r="J115" s="6"/>
      <c r="N115" s="4"/>
    </row>
    <row r="116" spans="8:14" x14ac:dyDescent="0.3">
      <c r="H116" s="5"/>
      <c r="J116" s="6"/>
      <c r="N116" s="4"/>
    </row>
    <row r="117" spans="8:14" x14ac:dyDescent="0.3">
      <c r="H117" s="5"/>
      <c r="J117" s="6"/>
      <c r="N117" s="4"/>
    </row>
    <row r="118" spans="8:14" x14ac:dyDescent="0.3">
      <c r="H118" s="5"/>
      <c r="J118" s="6"/>
      <c r="N118" s="4"/>
    </row>
    <row r="119" spans="8:14" x14ac:dyDescent="0.3">
      <c r="H119" s="5"/>
      <c r="J119" s="6"/>
      <c r="N119" s="4"/>
    </row>
    <row r="120" spans="8:14" x14ac:dyDescent="0.3">
      <c r="H120" s="5"/>
      <c r="J120" s="6"/>
      <c r="N120" s="4"/>
    </row>
    <row r="121" spans="8:14" x14ac:dyDescent="0.3">
      <c r="H121" s="5"/>
      <c r="J121" s="6"/>
      <c r="N121" s="4"/>
    </row>
    <row r="122" spans="8:14" x14ac:dyDescent="0.3">
      <c r="H122" s="5"/>
      <c r="J122" s="6"/>
      <c r="N122" s="4"/>
    </row>
    <row r="123" spans="8:14" x14ac:dyDescent="0.3">
      <c r="H123" s="5"/>
      <c r="J123" s="6"/>
      <c r="N123" s="4"/>
    </row>
    <row r="124" spans="8:14" x14ac:dyDescent="0.3">
      <c r="H124" s="5"/>
      <c r="J124" s="6"/>
      <c r="N124" s="4"/>
    </row>
    <row r="125" spans="8:14" x14ac:dyDescent="0.3">
      <c r="H125" s="5"/>
      <c r="J125" s="6"/>
      <c r="N125" s="4"/>
    </row>
    <row r="126" spans="8:14" x14ac:dyDescent="0.3">
      <c r="H126" s="5"/>
      <c r="J126" s="6"/>
      <c r="N126" s="4"/>
    </row>
    <row r="127" spans="8:14" x14ac:dyDescent="0.3">
      <c r="H127" s="5"/>
      <c r="J127" s="6"/>
      <c r="N127" s="4"/>
    </row>
    <row r="128" spans="8:14" x14ac:dyDescent="0.3">
      <c r="H128" s="5"/>
      <c r="J128" s="6"/>
      <c r="N128" s="4"/>
    </row>
    <row r="129" spans="8:14" x14ac:dyDescent="0.3">
      <c r="H129" s="5"/>
      <c r="J129" s="6"/>
      <c r="N129" s="4"/>
    </row>
    <row r="130" spans="8:14" x14ac:dyDescent="0.3">
      <c r="H130" s="5"/>
      <c r="J130" s="6"/>
      <c r="N130" s="4"/>
    </row>
    <row r="131" spans="8:14" x14ac:dyDescent="0.3">
      <c r="H131" s="5"/>
      <c r="J131" s="6"/>
      <c r="N131" s="4"/>
    </row>
    <row r="132" spans="8:14" x14ac:dyDescent="0.3">
      <c r="H132" s="5"/>
      <c r="J132" s="6"/>
      <c r="N132" s="4"/>
    </row>
    <row r="133" spans="8:14" x14ac:dyDescent="0.3">
      <c r="H133" s="5"/>
      <c r="J133" s="6"/>
      <c r="N133" s="4"/>
    </row>
    <row r="134" spans="8:14" x14ac:dyDescent="0.3">
      <c r="H134" s="5"/>
      <c r="J134" s="6"/>
      <c r="N134" s="4"/>
    </row>
    <row r="135" spans="8:14" x14ac:dyDescent="0.3">
      <c r="H135" s="5"/>
      <c r="J135" s="6"/>
      <c r="N135" s="4"/>
    </row>
    <row r="136" spans="8:14" x14ac:dyDescent="0.3">
      <c r="H136" s="5"/>
      <c r="J136" s="6"/>
      <c r="N136" s="4"/>
    </row>
    <row r="137" spans="8:14" x14ac:dyDescent="0.3">
      <c r="H137" s="5"/>
      <c r="J137" s="6"/>
      <c r="N137" s="4"/>
    </row>
    <row r="138" spans="8:14" x14ac:dyDescent="0.3">
      <c r="H138" s="5"/>
      <c r="J138" s="6"/>
      <c r="N138" s="4"/>
    </row>
    <row r="139" spans="8:14" x14ac:dyDescent="0.3">
      <c r="H139" s="5"/>
      <c r="J139" s="6"/>
      <c r="N139" s="4"/>
    </row>
    <row r="140" spans="8:14" x14ac:dyDescent="0.3">
      <c r="H140" s="5"/>
      <c r="J140" s="6"/>
      <c r="N140" s="4"/>
    </row>
    <row r="141" spans="8:14" x14ac:dyDescent="0.3">
      <c r="H141" s="5"/>
      <c r="J141" s="6"/>
      <c r="N141" s="4"/>
    </row>
    <row r="142" spans="8:14" x14ac:dyDescent="0.3">
      <c r="H142" s="5"/>
      <c r="J142" s="6"/>
      <c r="N142" s="4"/>
    </row>
    <row r="143" spans="8:14" x14ac:dyDescent="0.3">
      <c r="H143" s="5"/>
      <c r="J143" s="6"/>
      <c r="N143" s="4"/>
    </row>
    <row r="144" spans="8:14" x14ac:dyDescent="0.3">
      <c r="H144" s="5"/>
      <c r="J144" s="6"/>
      <c r="N144" s="4"/>
    </row>
    <row r="145" spans="8:14" x14ac:dyDescent="0.3">
      <c r="H145" s="5"/>
      <c r="J145" s="6"/>
      <c r="N145" s="4"/>
    </row>
    <row r="146" spans="8:14" x14ac:dyDescent="0.3">
      <c r="H146" s="5"/>
      <c r="J146" s="6"/>
      <c r="N146" s="4"/>
    </row>
    <row r="147" spans="8:14" x14ac:dyDescent="0.3">
      <c r="H147" s="5"/>
      <c r="J147" s="6"/>
      <c r="N147" s="4"/>
    </row>
    <row r="148" spans="8:14" x14ac:dyDescent="0.3">
      <c r="H148" s="5"/>
      <c r="J148" s="6"/>
      <c r="N148" s="4"/>
    </row>
    <row r="149" spans="8:14" x14ac:dyDescent="0.3">
      <c r="H149" s="5"/>
      <c r="J149" s="6"/>
      <c r="N149" s="4"/>
    </row>
    <row r="150" spans="8:14" x14ac:dyDescent="0.3">
      <c r="H150" s="5"/>
      <c r="J150" s="6"/>
      <c r="N150" s="4"/>
    </row>
    <row r="151" spans="8:14" x14ac:dyDescent="0.3">
      <c r="H151" s="5"/>
      <c r="J151" s="6"/>
      <c r="N151" s="4"/>
    </row>
    <row r="152" spans="8:14" x14ac:dyDescent="0.3">
      <c r="H152" s="5"/>
      <c r="J152" s="6"/>
      <c r="N152" s="4"/>
    </row>
    <row r="153" spans="8:14" x14ac:dyDescent="0.3">
      <c r="H153" s="5"/>
      <c r="J153" s="6"/>
      <c r="N153" s="4"/>
    </row>
    <row r="154" spans="8:14" x14ac:dyDescent="0.3">
      <c r="H154" s="5"/>
      <c r="J154" s="6"/>
      <c r="N154" s="4"/>
    </row>
    <row r="155" spans="8:14" x14ac:dyDescent="0.3">
      <c r="H155" s="5"/>
      <c r="J155" s="6"/>
      <c r="N155" s="4"/>
    </row>
    <row r="156" spans="8:14" x14ac:dyDescent="0.3">
      <c r="H156" s="5"/>
      <c r="J156" s="6"/>
      <c r="N156" s="4"/>
    </row>
    <row r="157" spans="8:14" x14ac:dyDescent="0.3">
      <c r="H157" s="5"/>
      <c r="J157" s="6"/>
      <c r="N157" s="4"/>
    </row>
    <row r="158" spans="8:14" x14ac:dyDescent="0.3">
      <c r="H158" s="5"/>
      <c r="J158" s="6"/>
      <c r="N158" s="4"/>
    </row>
    <row r="159" spans="8:14" x14ac:dyDescent="0.3">
      <c r="H159" s="5"/>
      <c r="J159" s="6"/>
      <c r="N159" s="4"/>
    </row>
    <row r="160" spans="8:14" x14ac:dyDescent="0.3">
      <c r="H160" s="5"/>
      <c r="J160" s="6"/>
      <c r="N160" s="4"/>
    </row>
    <row r="161" spans="8:14" x14ac:dyDescent="0.3">
      <c r="H161" s="5"/>
      <c r="J161" s="6"/>
      <c r="N161" s="4"/>
    </row>
    <row r="162" spans="8:14" x14ac:dyDescent="0.3">
      <c r="H162" s="5"/>
      <c r="J162" s="6"/>
      <c r="N162" s="4"/>
    </row>
    <row r="163" spans="8:14" x14ac:dyDescent="0.3">
      <c r="H163" s="5"/>
      <c r="J163" s="6"/>
      <c r="N163" s="4"/>
    </row>
    <row r="164" spans="8:14" x14ac:dyDescent="0.3">
      <c r="H164" s="5"/>
      <c r="J164" s="6"/>
      <c r="N164" s="4"/>
    </row>
    <row r="165" spans="8:14" x14ac:dyDescent="0.3">
      <c r="H165" s="5"/>
      <c r="J165" s="6"/>
      <c r="N165" s="4"/>
    </row>
    <row r="166" spans="8:14" x14ac:dyDescent="0.3">
      <c r="H166" s="5"/>
      <c r="J166" s="6"/>
      <c r="N166" s="4"/>
    </row>
    <row r="167" spans="8:14" x14ac:dyDescent="0.3">
      <c r="H167" s="5"/>
      <c r="J167" s="6"/>
      <c r="N167" s="4"/>
    </row>
    <row r="168" spans="8:14" x14ac:dyDescent="0.3">
      <c r="H168" s="5"/>
      <c r="J168" s="6"/>
      <c r="N168" s="4"/>
    </row>
    <row r="169" spans="8:14" x14ac:dyDescent="0.3">
      <c r="H169" s="5"/>
      <c r="J169" s="6"/>
      <c r="N169" s="4"/>
    </row>
    <row r="170" spans="8:14" x14ac:dyDescent="0.3">
      <c r="H170" s="5"/>
      <c r="J170" s="6"/>
      <c r="N170" s="4"/>
    </row>
    <row r="171" spans="8:14" x14ac:dyDescent="0.3">
      <c r="H171" s="5"/>
      <c r="J171" s="6"/>
      <c r="N171" s="4"/>
    </row>
    <row r="172" spans="8:14" x14ac:dyDescent="0.3">
      <c r="H172" s="5"/>
      <c r="J172" s="6"/>
      <c r="N172" s="4"/>
    </row>
    <row r="173" spans="8:14" x14ac:dyDescent="0.3">
      <c r="H173" s="5"/>
      <c r="J173" s="6"/>
      <c r="N173" s="4"/>
    </row>
    <row r="174" spans="8:14" x14ac:dyDescent="0.3">
      <c r="H174" s="5"/>
      <c r="J174" s="6"/>
      <c r="N174" s="4"/>
    </row>
    <row r="175" spans="8:14" x14ac:dyDescent="0.3">
      <c r="H175" s="5"/>
      <c r="J175" s="6"/>
      <c r="N175" s="4"/>
    </row>
    <row r="176" spans="8:14" x14ac:dyDescent="0.3">
      <c r="H176" s="5"/>
      <c r="J176" s="6"/>
      <c r="N176" s="4"/>
    </row>
    <row r="177" spans="8:14" x14ac:dyDescent="0.3">
      <c r="H177" s="5"/>
      <c r="J177" s="6"/>
      <c r="N177" s="4"/>
    </row>
    <row r="178" spans="8:14" x14ac:dyDescent="0.3">
      <c r="H178" s="5"/>
      <c r="J178" s="6"/>
      <c r="N178" s="4"/>
    </row>
    <row r="179" spans="8:14" x14ac:dyDescent="0.3">
      <c r="H179" s="5"/>
      <c r="J179" s="6"/>
      <c r="N179" s="4"/>
    </row>
    <row r="180" spans="8:14" x14ac:dyDescent="0.3">
      <c r="H180" s="5"/>
      <c r="J180" s="6"/>
      <c r="N180" s="4"/>
    </row>
    <row r="181" spans="8:14" x14ac:dyDescent="0.3">
      <c r="H181" s="5"/>
      <c r="J181" s="6"/>
      <c r="N181" s="4"/>
    </row>
    <row r="182" spans="8:14" x14ac:dyDescent="0.3">
      <c r="H182" s="5"/>
      <c r="J182" s="6"/>
      <c r="N182" s="4"/>
    </row>
    <row r="183" spans="8:14" x14ac:dyDescent="0.3">
      <c r="H183" s="5"/>
      <c r="J183" s="6"/>
      <c r="N183" s="4"/>
    </row>
    <row r="184" spans="8:14" x14ac:dyDescent="0.3">
      <c r="H184" s="5"/>
      <c r="J184" s="6"/>
      <c r="N184" s="4"/>
    </row>
    <row r="185" spans="8:14" x14ac:dyDescent="0.3">
      <c r="H185" s="5"/>
      <c r="J185" s="6"/>
      <c r="N185" s="4"/>
    </row>
    <row r="186" spans="8:14" x14ac:dyDescent="0.3">
      <c r="H186" s="5"/>
      <c r="J186" s="6"/>
      <c r="N186" s="4"/>
    </row>
    <row r="187" spans="8:14" x14ac:dyDescent="0.3">
      <c r="H187" s="5"/>
      <c r="J187" s="6"/>
      <c r="N187" s="4"/>
    </row>
    <row r="188" spans="8:14" x14ac:dyDescent="0.3">
      <c r="H188" s="5"/>
      <c r="J188" s="6"/>
      <c r="N188" s="4"/>
    </row>
    <row r="189" spans="8:14" x14ac:dyDescent="0.3">
      <c r="H189" s="5"/>
      <c r="J189" s="6"/>
      <c r="N189" s="4"/>
    </row>
    <row r="190" spans="8:14" x14ac:dyDescent="0.3">
      <c r="H190" s="5"/>
      <c r="J190" s="6"/>
      <c r="N190" s="4"/>
    </row>
    <row r="191" spans="8:14" x14ac:dyDescent="0.3">
      <c r="H191" s="5"/>
      <c r="J191" s="6"/>
      <c r="N191" s="4"/>
    </row>
    <row r="192" spans="8:14" x14ac:dyDescent="0.3">
      <c r="H192" s="5"/>
      <c r="J192" s="6"/>
      <c r="N192" s="4"/>
    </row>
    <row r="193" spans="8:14" x14ac:dyDescent="0.3">
      <c r="H193" s="5"/>
      <c r="J193" s="6"/>
      <c r="N193" s="4"/>
    </row>
    <row r="194" spans="8:14" x14ac:dyDescent="0.3">
      <c r="H194" s="5"/>
      <c r="J194" s="6"/>
      <c r="N194" s="4"/>
    </row>
    <row r="195" spans="8:14" x14ac:dyDescent="0.3">
      <c r="H195" s="5"/>
      <c r="J195" s="6"/>
      <c r="N195" s="4"/>
    </row>
    <row r="196" spans="8:14" x14ac:dyDescent="0.3">
      <c r="H196" s="5"/>
      <c r="J196" s="6"/>
      <c r="N196" s="4"/>
    </row>
    <row r="197" spans="8:14" x14ac:dyDescent="0.3">
      <c r="H197" s="5"/>
      <c r="J197" s="6"/>
      <c r="N197" s="4"/>
    </row>
    <row r="198" spans="8:14" x14ac:dyDescent="0.3">
      <c r="H198" s="5"/>
      <c r="J198" s="6"/>
      <c r="N198" s="4"/>
    </row>
    <row r="199" spans="8:14" x14ac:dyDescent="0.3">
      <c r="H199" s="5"/>
      <c r="J199" s="6"/>
      <c r="N199" s="4"/>
    </row>
    <row r="200" spans="8:14" x14ac:dyDescent="0.3">
      <c r="H200" s="5"/>
      <c r="J200" s="6"/>
      <c r="N200" s="4"/>
    </row>
    <row r="201" spans="8:14" x14ac:dyDescent="0.3">
      <c r="H201" s="5"/>
      <c r="J201" s="6"/>
      <c r="N201" s="4"/>
    </row>
    <row r="202" spans="8:14" x14ac:dyDescent="0.3">
      <c r="H202" s="5"/>
      <c r="J202" s="6"/>
      <c r="N202" s="4"/>
    </row>
    <row r="203" spans="8:14" x14ac:dyDescent="0.3">
      <c r="H203" s="5"/>
      <c r="J203" s="6"/>
      <c r="N203" s="4"/>
    </row>
    <row r="204" spans="8:14" x14ac:dyDescent="0.3">
      <c r="H204" s="5"/>
      <c r="J204" s="6"/>
      <c r="N204" s="4"/>
    </row>
    <row r="205" spans="8:14" x14ac:dyDescent="0.3">
      <c r="H205" s="5"/>
      <c r="J205" s="6"/>
      <c r="N205" s="4"/>
    </row>
    <row r="206" spans="8:14" x14ac:dyDescent="0.3">
      <c r="H206" s="5"/>
      <c r="J206" s="6"/>
      <c r="N206" s="4"/>
    </row>
    <row r="207" spans="8:14" x14ac:dyDescent="0.3">
      <c r="H207" s="5"/>
      <c r="J207" s="6"/>
      <c r="N207" s="4"/>
    </row>
    <row r="208" spans="8:14" x14ac:dyDescent="0.3">
      <c r="H208" s="5"/>
      <c r="J208" s="6"/>
      <c r="N208" s="4"/>
    </row>
    <row r="209" spans="8:14" x14ac:dyDescent="0.3">
      <c r="H209" s="5"/>
      <c r="J209" s="6"/>
      <c r="N209" s="4"/>
    </row>
    <row r="210" spans="8:14" x14ac:dyDescent="0.3">
      <c r="H210" s="5"/>
      <c r="J210" s="6"/>
      <c r="N210" s="4"/>
    </row>
    <row r="211" spans="8:14" x14ac:dyDescent="0.3">
      <c r="H211" s="5"/>
      <c r="J211" s="6"/>
      <c r="N211" s="4"/>
    </row>
    <row r="212" spans="8:14" x14ac:dyDescent="0.3">
      <c r="H212" s="5"/>
      <c r="J212" s="6"/>
      <c r="N212" s="4"/>
    </row>
    <row r="213" spans="8:14" x14ac:dyDescent="0.3">
      <c r="H213" s="5"/>
      <c r="J213" s="6"/>
      <c r="N213" s="4"/>
    </row>
    <row r="214" spans="8:14" x14ac:dyDescent="0.3">
      <c r="H214" s="5"/>
      <c r="J214" s="6"/>
      <c r="N214" s="4"/>
    </row>
    <row r="215" spans="8:14" x14ac:dyDescent="0.3">
      <c r="H215" s="5"/>
      <c r="J215" s="6"/>
      <c r="N215" s="4"/>
    </row>
    <row r="216" spans="8:14" x14ac:dyDescent="0.3">
      <c r="H216" s="5"/>
      <c r="J216" s="6"/>
      <c r="N216" s="4"/>
    </row>
    <row r="217" spans="8:14" x14ac:dyDescent="0.3">
      <c r="H217" s="5"/>
      <c r="J217" s="6"/>
      <c r="N217" s="4"/>
    </row>
    <row r="218" spans="8:14" x14ac:dyDescent="0.3">
      <c r="H218" s="5"/>
      <c r="J218" s="6"/>
      <c r="N218" s="4"/>
    </row>
    <row r="219" spans="8:14" x14ac:dyDescent="0.3">
      <c r="H219" s="5"/>
      <c r="J219" s="6"/>
      <c r="N219" s="4"/>
    </row>
    <row r="220" spans="8:14" x14ac:dyDescent="0.3">
      <c r="H220" s="5"/>
      <c r="J220" s="6"/>
      <c r="N220" s="4"/>
    </row>
    <row r="221" spans="8:14" x14ac:dyDescent="0.3">
      <c r="H221" s="5"/>
      <c r="J221" s="6"/>
      <c r="N221" s="4"/>
    </row>
    <row r="222" spans="8:14" x14ac:dyDescent="0.3">
      <c r="H222" s="5"/>
      <c r="J222" s="6"/>
      <c r="N222" s="4"/>
    </row>
    <row r="223" spans="8:14" x14ac:dyDescent="0.3">
      <c r="H223" s="5"/>
      <c r="J223" s="6"/>
      <c r="N223" s="4"/>
    </row>
    <row r="224" spans="8:14" x14ac:dyDescent="0.3">
      <c r="H224" s="5"/>
      <c r="J224" s="6"/>
      <c r="N224" s="4"/>
    </row>
    <row r="225" spans="8:14" x14ac:dyDescent="0.3">
      <c r="H225" s="5"/>
      <c r="J225" s="6"/>
      <c r="N225" s="4"/>
    </row>
    <row r="226" spans="8:14" x14ac:dyDescent="0.3">
      <c r="H226" s="5"/>
      <c r="J226" s="6"/>
      <c r="N226" s="4"/>
    </row>
    <row r="227" spans="8:14" x14ac:dyDescent="0.3">
      <c r="H227" s="5"/>
      <c r="J227" s="6"/>
      <c r="N227" s="4"/>
    </row>
    <row r="228" spans="8:14" x14ac:dyDescent="0.3">
      <c r="H228" s="5"/>
      <c r="J228" s="6"/>
      <c r="N228" s="4"/>
    </row>
    <row r="229" spans="8:14" x14ac:dyDescent="0.3">
      <c r="H229" s="5"/>
      <c r="J229" s="6"/>
      <c r="N229" s="4"/>
    </row>
    <row r="230" spans="8:14" x14ac:dyDescent="0.3">
      <c r="H230" s="5"/>
      <c r="J230" s="6"/>
      <c r="N230" s="4"/>
    </row>
    <row r="231" spans="8:14" x14ac:dyDescent="0.3">
      <c r="H231" s="5"/>
      <c r="J231" s="6"/>
      <c r="N231" s="4"/>
    </row>
    <row r="232" spans="8:14" x14ac:dyDescent="0.3">
      <c r="H232" s="5"/>
      <c r="J232" s="6"/>
      <c r="N232" s="4"/>
    </row>
    <row r="233" spans="8:14" x14ac:dyDescent="0.3">
      <c r="H233" s="5"/>
      <c r="J233" s="6"/>
      <c r="N233" s="4"/>
    </row>
    <row r="234" spans="8:14" x14ac:dyDescent="0.3">
      <c r="H234" s="5"/>
      <c r="J234" s="6"/>
      <c r="N234" s="4"/>
    </row>
    <row r="235" spans="8:14" x14ac:dyDescent="0.3">
      <c r="H235" s="5"/>
      <c r="J235" s="6"/>
      <c r="N235" s="4"/>
    </row>
    <row r="236" spans="8:14" x14ac:dyDescent="0.3">
      <c r="H236" s="5"/>
      <c r="J236" s="6"/>
      <c r="N236" s="4"/>
    </row>
    <row r="237" spans="8:14" x14ac:dyDescent="0.3">
      <c r="H237" s="5"/>
      <c r="J237" s="6"/>
      <c r="N237" s="4"/>
    </row>
    <row r="238" spans="8:14" x14ac:dyDescent="0.3">
      <c r="H238" s="5"/>
      <c r="J238" s="6"/>
      <c r="N238" s="4"/>
    </row>
    <row r="239" spans="8:14" x14ac:dyDescent="0.3">
      <c r="H239" s="5"/>
      <c r="J239" s="6"/>
      <c r="N239" s="4"/>
    </row>
    <row r="240" spans="8:14" x14ac:dyDescent="0.3">
      <c r="H240" s="5"/>
      <c r="J240" s="6"/>
      <c r="N240" s="4"/>
    </row>
    <row r="241" spans="8:14" x14ac:dyDescent="0.3">
      <c r="H241" s="5"/>
      <c r="J241" s="6"/>
      <c r="N241" s="4"/>
    </row>
    <row r="242" spans="8:14" x14ac:dyDescent="0.3">
      <c r="H242" s="5"/>
      <c r="J242" s="6"/>
      <c r="N242" s="4"/>
    </row>
    <row r="243" spans="8:14" x14ac:dyDescent="0.3">
      <c r="H243" s="5"/>
      <c r="J243" s="6"/>
      <c r="N243" s="4"/>
    </row>
    <row r="244" spans="8:14" x14ac:dyDescent="0.3">
      <c r="H244" s="5"/>
      <c r="J244" s="6"/>
      <c r="N244" s="4"/>
    </row>
    <row r="245" spans="8:14" x14ac:dyDescent="0.3">
      <c r="H245" s="5"/>
      <c r="J245" s="6"/>
      <c r="N245" s="4"/>
    </row>
    <row r="246" spans="8:14" x14ac:dyDescent="0.3">
      <c r="H246" s="5"/>
      <c r="J246" s="6"/>
      <c r="N246" s="4"/>
    </row>
    <row r="247" spans="8:14" x14ac:dyDescent="0.3">
      <c r="H247" s="5"/>
      <c r="J247" s="6"/>
      <c r="N247" s="4"/>
    </row>
    <row r="248" spans="8:14" x14ac:dyDescent="0.3">
      <c r="H248" s="5"/>
      <c r="J248" s="6"/>
      <c r="N248" s="4"/>
    </row>
    <row r="249" spans="8:14" x14ac:dyDescent="0.3">
      <c r="H249" s="5"/>
      <c r="J249" s="6"/>
      <c r="N249" s="4"/>
    </row>
    <row r="250" spans="8:14" x14ac:dyDescent="0.3">
      <c r="H250" s="5"/>
      <c r="J250" s="6"/>
      <c r="N250" s="4"/>
    </row>
    <row r="251" spans="8:14" x14ac:dyDescent="0.3">
      <c r="H251" s="5"/>
      <c r="J251" s="6"/>
      <c r="N251" s="4"/>
    </row>
    <row r="252" spans="8:14" x14ac:dyDescent="0.3">
      <c r="H252" s="5"/>
      <c r="J252" s="6"/>
      <c r="N252" s="4"/>
    </row>
    <row r="253" spans="8:14" x14ac:dyDescent="0.3">
      <c r="H253" s="5"/>
      <c r="J253" s="6"/>
      <c r="N253" s="4"/>
    </row>
    <row r="254" spans="8:14" x14ac:dyDescent="0.3">
      <c r="H254" s="5"/>
      <c r="J254" s="6"/>
      <c r="N254" s="4"/>
    </row>
    <row r="255" spans="8:14" x14ac:dyDescent="0.3">
      <c r="H255" s="5"/>
      <c r="J255" s="6"/>
      <c r="N255" s="4"/>
    </row>
    <row r="256" spans="8:14" x14ac:dyDescent="0.3">
      <c r="H256" s="5"/>
      <c r="J256" s="6"/>
      <c r="N256" s="4"/>
    </row>
    <row r="257" spans="8:14" x14ac:dyDescent="0.3">
      <c r="H257" s="5"/>
      <c r="J257" s="6"/>
      <c r="N257" s="4"/>
    </row>
    <row r="258" spans="8:14" x14ac:dyDescent="0.3">
      <c r="H258" s="5"/>
      <c r="J258" s="6"/>
      <c r="N258" s="4"/>
    </row>
    <row r="259" spans="8:14" x14ac:dyDescent="0.3">
      <c r="H259" s="5"/>
      <c r="J259" s="6"/>
      <c r="N259" s="4"/>
    </row>
    <row r="260" spans="8:14" x14ac:dyDescent="0.3">
      <c r="H260" s="5"/>
      <c r="J260" s="6"/>
      <c r="N260" s="4"/>
    </row>
    <row r="261" spans="8:14" x14ac:dyDescent="0.3">
      <c r="H261" s="5"/>
      <c r="J261" s="6"/>
      <c r="N261" s="4"/>
    </row>
    <row r="262" spans="8:14" x14ac:dyDescent="0.3">
      <c r="H262" s="5"/>
      <c r="J262" s="6"/>
      <c r="N262" s="4"/>
    </row>
    <row r="263" spans="8:14" x14ac:dyDescent="0.3">
      <c r="H263" s="5"/>
      <c r="J263" s="6"/>
      <c r="N263" s="4"/>
    </row>
    <row r="264" spans="8:14" x14ac:dyDescent="0.3">
      <c r="H264" s="5"/>
      <c r="J264" s="6"/>
      <c r="N264" s="4"/>
    </row>
    <row r="265" spans="8:14" x14ac:dyDescent="0.3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workbookViewId="0">
      <selection activeCell="L8" sqref="L8:L170"/>
    </sheetView>
  </sheetViews>
  <sheetFormatPr defaultRowHeight="14.4" x14ac:dyDescent="0.3"/>
  <cols>
    <col min="1" max="1" width="1.6640625" customWidth="1"/>
    <col min="2" max="2" width="3.6640625" customWidth="1"/>
    <col min="3" max="3" width="12.5546875" customWidth="1"/>
    <col min="4" max="4" width="13.88671875" bestFit="1" customWidth="1"/>
    <col min="5" max="5" width="14.88671875" bestFit="1" customWidth="1"/>
    <col min="6" max="6" width="13.6640625" bestFit="1" customWidth="1"/>
    <col min="7" max="7" width="25.886718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23.88671875" bestFit="1" customWidth="1"/>
    <col min="14" max="14" width="13.44140625" bestFit="1" customWidth="1"/>
    <col min="15" max="15" width="12.6640625" customWidth="1"/>
  </cols>
  <sheetData>
    <row r="1" spans="1:15" s="2" customFormat="1" ht="52.5" customHeight="1" x14ac:dyDescent="0.3">
      <c r="A1" s="1"/>
      <c r="C1" s="3" t="s">
        <v>739</v>
      </c>
    </row>
    <row r="7" spans="1:15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hidden="1" x14ac:dyDescent="0.3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hidden="1" x14ac:dyDescent="0.3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hidden="1" x14ac:dyDescent="0.3">
      <c r="C10" t="s">
        <v>608</v>
      </c>
      <c r="D10" t="s">
        <v>283</v>
      </c>
      <c r="E10" t="s">
        <v>284</v>
      </c>
      <c r="F10" t="s">
        <v>24</v>
      </c>
      <c r="G10" t="s">
        <v>25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hidden="1" x14ac:dyDescent="0.3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5">
        <v>80695.740000000005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3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5">
        <v>120000</v>
      </c>
      <c r="I12" t="s">
        <v>17</v>
      </c>
      <c r="J12" s="6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hidden="1" x14ac:dyDescent="0.3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hidden="1" x14ac:dyDescent="0.3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hidden="1" x14ac:dyDescent="0.3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3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5">
        <v>114177.23</v>
      </c>
      <c r="I16" t="s">
        <v>17</v>
      </c>
      <c r="J16" s="6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hidden="1" x14ac:dyDescent="0.3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hidden="1" x14ac:dyDescent="0.3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hidden="1" x14ac:dyDescent="0.3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hidden="1" x14ac:dyDescent="0.3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hidden="1" x14ac:dyDescent="0.3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3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5">
        <v>112645.99</v>
      </c>
      <c r="I22" t="s">
        <v>17</v>
      </c>
      <c r="J22" s="6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hidden="1" x14ac:dyDescent="0.3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hidden="1" x14ac:dyDescent="0.3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hidden="1" x14ac:dyDescent="0.3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hidden="1" x14ac:dyDescent="0.3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hidden="1" x14ac:dyDescent="0.3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hidden="1" x14ac:dyDescent="0.3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hidden="1" x14ac:dyDescent="0.3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hidden="1" x14ac:dyDescent="0.3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hidden="1" x14ac:dyDescent="0.3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hidden="1" x14ac:dyDescent="0.3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3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5">
        <v>115191.38</v>
      </c>
      <c r="I33" t="s">
        <v>17</v>
      </c>
      <c r="J33" s="6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hidden="1" x14ac:dyDescent="0.3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hidden="1" x14ac:dyDescent="0.3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hidden="1" x14ac:dyDescent="0.3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3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5">
        <v>102934.09</v>
      </c>
      <c r="I37" t="s">
        <v>17</v>
      </c>
      <c r="J37" s="6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hidden="1" x14ac:dyDescent="0.3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3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5">
        <v>104335.03999999999</v>
      </c>
      <c r="I39" t="s">
        <v>17</v>
      </c>
      <c r="J39" s="6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hidden="1" x14ac:dyDescent="0.3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hidden="1" x14ac:dyDescent="0.3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hidden="1" x14ac:dyDescent="0.3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hidden="1" x14ac:dyDescent="0.3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hidden="1" x14ac:dyDescent="0.3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hidden="1" x14ac:dyDescent="0.3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hidden="1" x14ac:dyDescent="0.3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hidden="1" x14ac:dyDescent="0.3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hidden="1" x14ac:dyDescent="0.3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hidden="1" x14ac:dyDescent="0.3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hidden="1" x14ac:dyDescent="0.3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hidden="1" x14ac:dyDescent="0.3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hidden="1" x14ac:dyDescent="0.3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hidden="1" x14ac:dyDescent="0.3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3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5">
        <v>119022.49</v>
      </c>
      <c r="I54" t="s">
        <v>17</v>
      </c>
      <c r="J54" s="6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hidden="1" x14ac:dyDescent="0.3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hidden="1" x14ac:dyDescent="0.3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hidden="1" x14ac:dyDescent="0.3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hidden="1" x14ac:dyDescent="0.3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hidden="1" x14ac:dyDescent="0.3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3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5">
        <v>104802.63</v>
      </c>
      <c r="I60" t="s">
        <v>17</v>
      </c>
      <c r="J60" s="6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hidden="1" x14ac:dyDescent="0.3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hidden="1" x14ac:dyDescent="0.3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3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5">
        <v>110042.37</v>
      </c>
      <c r="I63" t="s">
        <v>17</v>
      </c>
      <c r="J63" s="6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hidden="1" x14ac:dyDescent="0.3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hidden="1" x14ac:dyDescent="0.3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3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5">
        <v>118976.16</v>
      </c>
      <c r="I66" t="s">
        <v>17</v>
      </c>
      <c r="J66" s="6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hidden="1" x14ac:dyDescent="0.3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hidden="1" x14ac:dyDescent="0.3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hidden="1" x14ac:dyDescent="0.3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hidden="1" x14ac:dyDescent="0.3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3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5">
        <v>111049.84</v>
      </c>
      <c r="I71" t="s">
        <v>17</v>
      </c>
      <c r="J71" s="6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hidden="1" x14ac:dyDescent="0.3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hidden="1" x14ac:dyDescent="0.3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hidden="1" x14ac:dyDescent="0.3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hidden="1" x14ac:dyDescent="0.3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hidden="1" x14ac:dyDescent="0.3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hidden="1" x14ac:dyDescent="0.3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hidden="1" x14ac:dyDescent="0.3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hidden="1" x14ac:dyDescent="0.3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hidden="1" x14ac:dyDescent="0.3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hidden="1" x14ac:dyDescent="0.3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hidden="1" x14ac:dyDescent="0.3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hidden="1" x14ac:dyDescent="0.3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3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5">
        <v>113616.23</v>
      </c>
      <c r="I84" t="s">
        <v>17</v>
      </c>
      <c r="J84" s="6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hidden="1" x14ac:dyDescent="0.3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hidden="1" x14ac:dyDescent="0.3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hidden="1" x14ac:dyDescent="0.3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hidden="1" x14ac:dyDescent="0.3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hidden="1" x14ac:dyDescent="0.3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hidden="1" x14ac:dyDescent="0.3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hidden="1" x14ac:dyDescent="0.3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3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5">
        <v>103494.94</v>
      </c>
      <c r="I92" t="s">
        <v>17</v>
      </c>
      <c r="J92" s="6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3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5">
        <v>103494.94</v>
      </c>
      <c r="I93" t="s">
        <v>17</v>
      </c>
      <c r="J93" s="6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3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5">
        <v>118442.54</v>
      </c>
      <c r="I94" t="s">
        <v>17</v>
      </c>
      <c r="J94" s="6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hidden="1" x14ac:dyDescent="0.3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hidden="1" x14ac:dyDescent="0.3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hidden="1" x14ac:dyDescent="0.3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hidden="1" x14ac:dyDescent="0.3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hidden="1" x14ac:dyDescent="0.3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hidden="1" x14ac:dyDescent="0.3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hidden="1" x14ac:dyDescent="0.3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hidden="1" x14ac:dyDescent="0.3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hidden="1" x14ac:dyDescent="0.3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hidden="1" x14ac:dyDescent="0.3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3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5">
        <v>114772.32</v>
      </c>
      <c r="I105" t="s">
        <v>17</v>
      </c>
      <c r="J105" s="6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hidden="1" x14ac:dyDescent="0.3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hidden="1" x14ac:dyDescent="0.3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3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5">
        <v>104903.79</v>
      </c>
      <c r="I108" t="s">
        <v>17</v>
      </c>
      <c r="J108" s="6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hidden="1" x14ac:dyDescent="0.3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hidden="1" x14ac:dyDescent="0.3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hidden="1" x14ac:dyDescent="0.3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3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5">
        <v>108872.77</v>
      </c>
      <c r="I112" t="s">
        <v>17</v>
      </c>
      <c r="J112" s="6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hidden="1" x14ac:dyDescent="0.3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hidden="1" x14ac:dyDescent="0.3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hidden="1" x14ac:dyDescent="0.3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3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5">
        <v>100731.95</v>
      </c>
      <c r="I116" t="s">
        <v>17</v>
      </c>
      <c r="J116" s="6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3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5">
        <v>107107.6</v>
      </c>
      <c r="I117" t="s">
        <v>17</v>
      </c>
      <c r="J117" s="6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3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5">
        <v>102129.37</v>
      </c>
      <c r="I118" t="s">
        <v>17</v>
      </c>
      <c r="J118" s="6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hidden="1" x14ac:dyDescent="0.3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hidden="1" x14ac:dyDescent="0.3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hidden="1" x14ac:dyDescent="0.3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3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5">
        <v>109143.17</v>
      </c>
      <c r="I122" t="s">
        <v>17</v>
      </c>
      <c r="J122" s="6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hidden="1" x14ac:dyDescent="0.3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hidden="1" x14ac:dyDescent="0.3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hidden="1" x14ac:dyDescent="0.3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3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5">
        <v>111229.47</v>
      </c>
      <c r="I126" t="s">
        <v>17</v>
      </c>
      <c r="J126" s="6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3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5">
        <v>120000</v>
      </c>
      <c r="I127" t="s">
        <v>17</v>
      </c>
      <c r="J127" s="6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hidden="1" x14ac:dyDescent="0.3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3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5">
        <v>100424.23</v>
      </c>
      <c r="I129" t="s">
        <v>17</v>
      </c>
      <c r="J129" s="6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hidden="1" x14ac:dyDescent="0.3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hidden="1" x14ac:dyDescent="0.3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hidden="1" x14ac:dyDescent="0.3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hidden="1" x14ac:dyDescent="0.3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hidden="1" x14ac:dyDescent="0.3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hidden="1" x14ac:dyDescent="0.3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hidden="1" x14ac:dyDescent="0.3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hidden="1" x14ac:dyDescent="0.3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hidden="1" x14ac:dyDescent="0.3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3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5">
        <v>109163.39</v>
      </c>
      <c r="I139" t="s">
        <v>17</v>
      </c>
      <c r="J139" s="6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hidden="1" x14ac:dyDescent="0.3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hidden="1" x14ac:dyDescent="0.3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hidden="1" x14ac:dyDescent="0.3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hidden="1" x14ac:dyDescent="0.3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hidden="1" x14ac:dyDescent="0.3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hidden="1" x14ac:dyDescent="0.3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hidden="1" x14ac:dyDescent="0.3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hidden="1" x14ac:dyDescent="0.3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hidden="1" x14ac:dyDescent="0.3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3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5">
        <v>114425.19</v>
      </c>
      <c r="I149" t="s">
        <v>17</v>
      </c>
      <c r="J149" s="6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hidden="1" x14ac:dyDescent="0.3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hidden="1" x14ac:dyDescent="0.3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hidden="1" x14ac:dyDescent="0.3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hidden="1" x14ac:dyDescent="0.3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hidden="1" x14ac:dyDescent="0.3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hidden="1" x14ac:dyDescent="0.3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hidden="1" x14ac:dyDescent="0.3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hidden="1" x14ac:dyDescent="0.3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hidden="1" x14ac:dyDescent="0.3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hidden="1" x14ac:dyDescent="0.3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hidden="1" x14ac:dyDescent="0.3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hidden="1" x14ac:dyDescent="0.3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hidden="1" x14ac:dyDescent="0.3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hidden="1" x14ac:dyDescent="0.3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hidden="1" x14ac:dyDescent="0.3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hidden="1" x14ac:dyDescent="0.3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hidden="1" x14ac:dyDescent="0.3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hidden="1" x14ac:dyDescent="0.3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hidden="1" x14ac:dyDescent="0.3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hidden="1" x14ac:dyDescent="0.3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hidden="1" x14ac:dyDescent="0.3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hidden="1" x14ac:dyDescent="0.3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hidden="1" x14ac:dyDescent="0.3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hidden="1" x14ac:dyDescent="0.3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hidden="1" x14ac:dyDescent="0.3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hidden="1" x14ac:dyDescent="0.3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hidden="1" x14ac:dyDescent="0.3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hidden="1" x14ac:dyDescent="0.3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hidden="1" x14ac:dyDescent="0.3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hidden="1" x14ac:dyDescent="0.3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hidden="1" x14ac:dyDescent="0.3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hidden="1" x14ac:dyDescent="0.3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hidden="1" x14ac:dyDescent="0.3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hidden="1" x14ac:dyDescent="0.3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hidden="1" x14ac:dyDescent="0.3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hidden="1" x14ac:dyDescent="0.3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3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5">
        <v>106775.14</v>
      </c>
      <c r="I186" t="s">
        <v>17</v>
      </c>
      <c r="J186" s="6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3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5">
        <v>106775.14</v>
      </c>
      <c r="I187" t="s">
        <v>17</v>
      </c>
      <c r="J187" s="6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hidden="1" x14ac:dyDescent="0.3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hidden="1" x14ac:dyDescent="0.3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hidden="1" x14ac:dyDescent="0.3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hidden="1" x14ac:dyDescent="0.3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3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5">
        <v>100371.31</v>
      </c>
      <c r="I192" t="s">
        <v>17</v>
      </c>
      <c r="J192" s="6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hidden="1" x14ac:dyDescent="0.3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hidden="1" x14ac:dyDescent="0.3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hidden="1" x14ac:dyDescent="0.3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hidden="1" x14ac:dyDescent="0.3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3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5">
        <v>104038.9</v>
      </c>
      <c r="I197" t="s">
        <v>17</v>
      </c>
      <c r="J197" s="6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hidden="1" x14ac:dyDescent="0.3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hidden="1" x14ac:dyDescent="0.3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hidden="1" x14ac:dyDescent="0.3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hidden="1" x14ac:dyDescent="0.3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hidden="1" x14ac:dyDescent="0.3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hidden="1" x14ac:dyDescent="0.3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hidden="1" x14ac:dyDescent="0.3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hidden="1" x14ac:dyDescent="0.3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hidden="1" x14ac:dyDescent="0.3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hidden="1" x14ac:dyDescent="0.3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hidden="1" x14ac:dyDescent="0.3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hidden="1" x14ac:dyDescent="0.3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hidden="1" x14ac:dyDescent="0.3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hidden="1" x14ac:dyDescent="0.3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hidden="1" x14ac:dyDescent="0.3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hidden="1" x14ac:dyDescent="0.3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hidden="1" x14ac:dyDescent="0.3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hidden="1" x14ac:dyDescent="0.3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hidden="1" x14ac:dyDescent="0.3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3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5">
        <v>101187.36</v>
      </c>
      <c r="I217" t="s">
        <v>17</v>
      </c>
      <c r="J217" s="6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hidden="1" x14ac:dyDescent="0.3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hidden="1" x14ac:dyDescent="0.3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3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5">
        <v>102515.81</v>
      </c>
      <c r="I220" t="s">
        <v>17</v>
      </c>
      <c r="J220" s="6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hidden="1" x14ac:dyDescent="0.3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3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5">
        <v>112778.28</v>
      </c>
      <c r="I222" t="s">
        <v>17</v>
      </c>
      <c r="J222" s="6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3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5">
        <v>112778.28</v>
      </c>
      <c r="I223" t="s">
        <v>17</v>
      </c>
      <c r="J223" s="6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hidden="1" x14ac:dyDescent="0.3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hidden="1" x14ac:dyDescent="0.3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hidden="1" x14ac:dyDescent="0.3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hidden="1" x14ac:dyDescent="0.3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hidden="1" x14ac:dyDescent="0.3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hidden="1" x14ac:dyDescent="0.3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hidden="1" x14ac:dyDescent="0.3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hidden="1" x14ac:dyDescent="0.3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hidden="1" x14ac:dyDescent="0.3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3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5">
        <v>114465.93</v>
      </c>
      <c r="I233" t="s">
        <v>17</v>
      </c>
      <c r="J233" s="6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hidden="1" x14ac:dyDescent="0.3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hidden="1" x14ac:dyDescent="0.3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hidden="1" x14ac:dyDescent="0.3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3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5">
        <v>114691.03</v>
      </c>
      <c r="I237" t="s">
        <v>17</v>
      </c>
      <c r="J237" s="6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hidden="1" x14ac:dyDescent="0.3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hidden="1" x14ac:dyDescent="0.3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3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5">
        <v>113747.56</v>
      </c>
      <c r="I240" t="s">
        <v>17</v>
      </c>
      <c r="J240" s="6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3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5">
        <v>113747.56</v>
      </c>
      <c r="I241" t="s">
        <v>17</v>
      </c>
      <c r="J241" s="6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hidden="1" x14ac:dyDescent="0.3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hidden="1" x14ac:dyDescent="0.3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hidden="1" x14ac:dyDescent="0.3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hidden="1" x14ac:dyDescent="0.3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hidden="1" x14ac:dyDescent="0.3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hidden="1" x14ac:dyDescent="0.3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hidden="1" x14ac:dyDescent="0.3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hidden="1" x14ac:dyDescent="0.3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hidden="1" x14ac:dyDescent="0.3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hidden="1" x14ac:dyDescent="0.3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3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5">
        <v>111815.49</v>
      </c>
      <c r="I252" t="s">
        <v>17</v>
      </c>
      <c r="J252" s="6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3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5">
        <v>111815.49</v>
      </c>
      <c r="I253" t="s">
        <v>17</v>
      </c>
      <c r="J253" s="6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3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5">
        <v>116767.63</v>
      </c>
      <c r="I254" t="s">
        <v>17</v>
      </c>
      <c r="J254" s="6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3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5">
        <v>116767.63</v>
      </c>
      <c r="I255" t="s">
        <v>17</v>
      </c>
      <c r="J255" s="6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hidden="1" x14ac:dyDescent="0.3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hidden="1" x14ac:dyDescent="0.3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3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5">
        <v>106400.02</v>
      </c>
      <c r="I258" t="s">
        <v>17</v>
      </c>
      <c r="J258" s="6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3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5">
        <v>106400.02</v>
      </c>
      <c r="I259" t="s">
        <v>17</v>
      </c>
      <c r="J259" s="6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hidden="1" x14ac:dyDescent="0.3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hidden="1" x14ac:dyDescent="0.3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hidden="1" x14ac:dyDescent="0.3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3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5">
        <v>106665.67</v>
      </c>
      <c r="I263" t="s">
        <v>17</v>
      </c>
      <c r="J263" s="6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hidden="1" x14ac:dyDescent="0.3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3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5">
        <v>110906.35</v>
      </c>
      <c r="I265" t="s">
        <v>17</v>
      </c>
      <c r="J265" s="6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hidden="1" x14ac:dyDescent="0.3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hidden="1" x14ac:dyDescent="0.3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695E-8444-4FFF-9D70-5B36FFF9CBD4}">
  <dimension ref="B2:F14"/>
  <sheetViews>
    <sheetView workbookViewId="0">
      <selection activeCell="E3" sqref="E3"/>
    </sheetView>
  </sheetViews>
  <sheetFormatPr defaultRowHeight="14.4" x14ac:dyDescent="0.3"/>
  <cols>
    <col min="2" max="2" width="22.109375" customWidth="1"/>
    <col min="3" max="3" width="22.33203125" customWidth="1"/>
    <col min="4" max="4" width="20.44140625" style="27" customWidth="1"/>
    <col min="5" max="5" width="17" style="27" customWidth="1"/>
  </cols>
  <sheetData>
    <row r="2" spans="2:6" s="26" customFormat="1" ht="18" x14ac:dyDescent="0.35">
      <c r="B2" s="26" t="s">
        <v>4</v>
      </c>
      <c r="C2" s="26" t="s">
        <v>768</v>
      </c>
      <c r="D2" s="28" t="s">
        <v>769</v>
      </c>
      <c r="E2" s="28" t="s">
        <v>770</v>
      </c>
      <c r="F2" s="26" t="s">
        <v>771</v>
      </c>
    </row>
    <row r="3" spans="2:6" x14ac:dyDescent="0.3">
      <c r="B3" t="s">
        <v>36</v>
      </c>
      <c r="C3" cm="1">
        <f t="array" ref="C3:C14">COUNTIFS(staff[Department],B3:B14)</f>
        <v>24</v>
      </c>
      <c r="D3" s="27" cm="1">
        <f t="array" ref="D3:D14">SUMIFS(staff[Salary],staff[Department],B3:B14)</f>
        <v>2013215.1600000001</v>
      </c>
      <c r="E3" s="27" cm="1">
        <f t="array" ref="E3:E14">AVERAGEIFS(staff[Salary],staff[Department],B3:B14)</f>
        <v>83883.965000000011</v>
      </c>
      <c r="F3" cm="1">
        <f t="array" ref="F3:F14">COUNTIFS(staff[Department],B3:B14,staff[Employee type],"Permanent")</f>
        <v>11</v>
      </c>
    </row>
    <row r="4" spans="2:6" x14ac:dyDescent="0.3">
      <c r="B4" t="s">
        <v>25</v>
      </c>
      <c r="C4">
        <v>26</v>
      </c>
      <c r="D4" s="27">
        <v>2074326.9500000002</v>
      </c>
      <c r="E4" s="27">
        <v>79781.805769230778</v>
      </c>
      <c r="F4">
        <v>18</v>
      </c>
    </row>
    <row r="5" spans="2:6" x14ac:dyDescent="0.3">
      <c r="B5" t="s">
        <v>16</v>
      </c>
      <c r="C5">
        <v>26</v>
      </c>
      <c r="D5" s="27">
        <v>2131387.4899999998</v>
      </c>
      <c r="E5" s="27">
        <v>81976.441923076913</v>
      </c>
      <c r="F5">
        <v>16</v>
      </c>
    </row>
    <row r="6" spans="2:6" x14ac:dyDescent="0.3">
      <c r="B6" t="s">
        <v>54</v>
      </c>
      <c r="C6">
        <v>12</v>
      </c>
      <c r="D6" s="27">
        <v>773295.6</v>
      </c>
      <c r="E6" s="27">
        <v>64441.299999999996</v>
      </c>
      <c r="F6">
        <v>9</v>
      </c>
    </row>
    <row r="7" spans="2:6" x14ac:dyDescent="0.3">
      <c r="B7" t="s">
        <v>131</v>
      </c>
      <c r="C7">
        <v>21</v>
      </c>
      <c r="D7" s="27">
        <v>1412092.87</v>
      </c>
      <c r="E7" s="27">
        <v>67242.51761904762</v>
      </c>
      <c r="F7">
        <v>13</v>
      </c>
    </row>
    <row r="8" spans="2:6" x14ac:dyDescent="0.3">
      <c r="B8" t="s">
        <v>101</v>
      </c>
      <c r="C8">
        <v>26</v>
      </c>
      <c r="D8" s="27">
        <v>1814980.59</v>
      </c>
      <c r="E8" s="27">
        <v>69806.945769230777</v>
      </c>
      <c r="F8">
        <v>18</v>
      </c>
    </row>
    <row r="9" spans="2:6" x14ac:dyDescent="0.3">
      <c r="B9" t="s">
        <v>97</v>
      </c>
      <c r="C9">
        <v>22</v>
      </c>
      <c r="D9" s="27">
        <v>1608406.3100000003</v>
      </c>
      <c r="E9" s="27">
        <v>73109.377727272746</v>
      </c>
      <c r="F9">
        <v>13</v>
      </c>
    </row>
    <row r="10" spans="2:6" x14ac:dyDescent="0.3">
      <c r="B10" t="s">
        <v>58</v>
      </c>
      <c r="C10">
        <v>18</v>
      </c>
      <c r="D10" s="27">
        <v>1204393.78</v>
      </c>
      <c r="E10" s="27">
        <v>66910.765555555554</v>
      </c>
      <c r="F10">
        <v>11</v>
      </c>
    </row>
    <row r="11" spans="2:6" x14ac:dyDescent="0.3">
      <c r="B11" t="s">
        <v>32</v>
      </c>
      <c r="C11">
        <v>21</v>
      </c>
      <c r="D11" s="27">
        <v>1568153.47</v>
      </c>
      <c r="E11" s="27">
        <v>74673.974761904756</v>
      </c>
      <c r="F11">
        <v>16</v>
      </c>
    </row>
    <row r="12" spans="2:6" x14ac:dyDescent="0.3">
      <c r="B12" t="s">
        <v>124</v>
      </c>
      <c r="C12">
        <v>29</v>
      </c>
      <c r="D12" s="27">
        <v>2180192.8699999992</v>
      </c>
      <c r="E12" s="27">
        <v>75179.064482758593</v>
      </c>
      <c r="F12">
        <v>19</v>
      </c>
    </row>
    <row r="13" spans="2:6" x14ac:dyDescent="0.3">
      <c r="B13" t="s">
        <v>50</v>
      </c>
      <c r="C13">
        <v>17</v>
      </c>
      <c r="D13" s="27">
        <v>1129351.75</v>
      </c>
      <c r="E13" s="27">
        <v>66432.455882352937</v>
      </c>
      <c r="F13">
        <v>11</v>
      </c>
    </row>
    <row r="14" spans="2:6" x14ac:dyDescent="0.3">
      <c r="B14" t="s">
        <v>105</v>
      </c>
      <c r="C14">
        <v>18</v>
      </c>
      <c r="D14" s="27">
        <v>1294147.72</v>
      </c>
      <c r="E14" s="27">
        <v>71897.095555555556</v>
      </c>
      <c r="F14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F897-2C84-45E7-BD19-911B0896D27F}">
  <dimension ref="B1:AM49"/>
  <sheetViews>
    <sheetView tabSelected="1" zoomScale="111" workbookViewId="0">
      <selection activeCell="AD13" sqref="AD13"/>
    </sheetView>
  </sheetViews>
  <sheetFormatPr defaultRowHeight="14.4" x14ac:dyDescent="0.3"/>
  <cols>
    <col min="9" max="9" width="8.88671875" style="31"/>
  </cols>
  <sheetData>
    <row r="1" spans="2:39" s="29" customFormat="1" ht="23.4" x14ac:dyDescent="0.45">
      <c r="B1" s="29" t="s">
        <v>772</v>
      </c>
      <c r="I1" s="30"/>
      <c r="Q1" s="29" t="s">
        <v>773</v>
      </c>
      <c r="Z1" s="29" t="s">
        <v>774</v>
      </c>
      <c r="AH1" s="29" t="s">
        <v>775</v>
      </c>
    </row>
    <row r="2" spans="2:39" s="32" customFormat="1" x14ac:dyDescent="0.3">
      <c r="B2" s="32" t="str" cm="1">
        <f t="array" ref="B2:N2">staff[#Headers]</f>
        <v>Emp ID</v>
      </c>
      <c r="C2" s="32" t="str">
        <v>First Name</v>
      </c>
      <c r="D2" s="32" t="str">
        <v>Last Name</v>
      </c>
      <c r="E2" s="32" t="str">
        <v>Gender</v>
      </c>
      <c r="F2" s="32" t="str">
        <v>Department</v>
      </c>
      <c r="G2" s="32" t="str">
        <v>Salary</v>
      </c>
      <c r="H2" s="32" t="str">
        <v>Salary Bucket</v>
      </c>
      <c r="I2" s="33" t="str">
        <v>Start Date</v>
      </c>
      <c r="J2" s="32" t="str">
        <v>FTE</v>
      </c>
      <c r="K2" s="32" t="str">
        <v>Employee type</v>
      </c>
      <c r="L2" s="32" t="str">
        <v>Work location</v>
      </c>
      <c r="M2" s="32" t="str">
        <v>Tenure</v>
      </c>
      <c r="N2" s="32" t="str">
        <v>Work Type</v>
      </c>
      <c r="Q2" s="32" t="str" cm="1">
        <f t="array" ref="Q2:U2">_xlfn.CHOOSECOLS(staff[#Headers],1,2,3,5,6)</f>
        <v>Emp ID</v>
      </c>
      <c r="R2" s="32" t="str">
        <v>First Name</v>
      </c>
      <c r="S2" s="32" t="str">
        <v>Last Name</v>
      </c>
      <c r="T2" s="32" t="str">
        <v>Department</v>
      </c>
      <c r="U2" s="32" t="str">
        <v>Salary</v>
      </c>
      <c r="Z2" s="32" t="str" cm="1">
        <f t="array" ref="Z2:AE2">_xlfn.CHOOSECOLS(staff[#Headers],1,2,3,4,5,6)</f>
        <v>Emp ID</v>
      </c>
      <c r="AA2" s="32" t="str">
        <v>First Name</v>
      </c>
      <c r="AB2" s="32" t="str">
        <v>Last Name</v>
      </c>
      <c r="AC2" s="32" t="str">
        <v>Gender</v>
      </c>
      <c r="AD2" s="32" t="str">
        <v>Department</v>
      </c>
      <c r="AE2" s="32" t="str">
        <v>Salary</v>
      </c>
      <c r="AH2" s="32" t="str" cm="1">
        <f t="array" ref="AH2:AM2">_xlfn.CHOOSECOLS(staff[#Headers],1,2,3,4,5,6)</f>
        <v>Emp ID</v>
      </c>
      <c r="AI2" s="32" t="str">
        <v>First Name</v>
      </c>
      <c r="AJ2" s="32" t="str">
        <v>Last Name</v>
      </c>
      <c r="AK2" s="32" t="str">
        <v>Gender</v>
      </c>
      <c r="AL2" s="32" t="str">
        <v>Department</v>
      </c>
      <c r="AM2" s="32" t="str">
        <v>Salary</v>
      </c>
    </row>
    <row r="3" spans="2:39" x14ac:dyDescent="0.3">
      <c r="B3" t="str" cm="1">
        <f t="array" ref="B3:N49">_xlfn._xlws.FILTER(staff[],staff[Salary]&gt;100000)</f>
        <v>PR00147</v>
      </c>
      <c r="C3" t="str">
        <v>Minerva</v>
      </c>
      <c r="D3" t="str">
        <v>Ricardot</v>
      </c>
      <c r="E3" t="str">
        <v>Male</v>
      </c>
      <c r="F3" t="str">
        <v>Engineering</v>
      </c>
      <c r="G3">
        <v>120000</v>
      </c>
      <c r="H3" t="str">
        <v>Above 100k</v>
      </c>
      <c r="I3" s="31">
        <v>43416</v>
      </c>
      <c r="J3">
        <v>1</v>
      </c>
      <c r="K3" t="str">
        <v>Permanent</v>
      </c>
      <c r="L3" t="str">
        <v>Remote</v>
      </c>
      <c r="M3">
        <v>5.6109589041095891</v>
      </c>
      <c r="N3" t="str">
        <v>Full time</v>
      </c>
      <c r="P3" s="34">
        <v>115000</v>
      </c>
      <c r="Q3" t="str" cm="1">
        <f t="array" ref="Q3:U10">_xlfn.CHOOSECOLS(_xlfn._xlws.FILTER(staff[],staff[Salary]&gt;P3),1,2,3,5,6)</f>
        <v>PR00147</v>
      </c>
      <c r="R3" t="str">
        <v>Minerva</v>
      </c>
      <c r="S3" t="str">
        <v>Ricardot</v>
      </c>
      <c r="T3" t="str">
        <v>Engineering</v>
      </c>
      <c r="U3">
        <v>120000</v>
      </c>
      <c r="Z3" t="str" cm="1">
        <f t="array" ref="Z3:AE6">_xlfn._xlws.FILTER(staff[[Emp ID]:[Salary]],(staff[Salary]&gt;P3)*(staff[Gender]="Female"))</f>
        <v>SQ02174</v>
      </c>
      <c r="AA3" t="str">
        <v>Sidoney</v>
      </c>
      <c r="AB3" t="str">
        <v>Yitzhok</v>
      </c>
      <c r="AC3" t="str">
        <v>Female</v>
      </c>
      <c r="AD3" t="str">
        <v>Engineering</v>
      </c>
      <c r="AE3">
        <v>118442.54</v>
      </c>
      <c r="AH3" t="str" cm="1">
        <f t="array" ref="AH3:AM6">_xlfn._xlws.FILTER(staff[[Emp ID]:[Salary]],(staff[Salary]&gt;P3)*(staff[Gender]="Female")*(staff[Start Date]&gt;=DATE(2020,1,1)))</f>
        <v>SQ02174</v>
      </c>
      <c r="AI3" t="str">
        <v>Sidoney</v>
      </c>
      <c r="AJ3" t="str">
        <v>Yitzhok</v>
      </c>
      <c r="AK3" t="str">
        <v>Female</v>
      </c>
      <c r="AL3" t="str">
        <v>Engineering</v>
      </c>
      <c r="AM3">
        <v>118442.54</v>
      </c>
    </row>
    <row r="4" spans="2:39" x14ac:dyDescent="0.3">
      <c r="B4" t="str">
        <v>PR00746</v>
      </c>
      <c r="C4" t="str">
        <v>Hogan</v>
      </c>
      <c r="D4" t="str">
        <v>Iles</v>
      </c>
      <c r="E4" t="str">
        <v>Female</v>
      </c>
      <c r="F4" t="str">
        <v>Accounting</v>
      </c>
      <c r="G4">
        <v>114177.23</v>
      </c>
      <c r="H4" t="str">
        <v>Above 100k</v>
      </c>
      <c r="I4" s="31">
        <v>43908</v>
      </c>
      <c r="J4">
        <v>1</v>
      </c>
      <c r="K4" t="str">
        <v>Permanent</v>
      </c>
      <c r="L4" t="str">
        <v>Wellington, New Zealand</v>
      </c>
      <c r="M4">
        <v>4.2630136986301368</v>
      </c>
      <c r="N4" t="str">
        <v>Full time</v>
      </c>
      <c r="Q4" t="str">
        <v>PR02010</v>
      </c>
      <c r="R4" t="str">
        <v>Prerana</v>
      </c>
      <c r="S4" t="str">
        <v>Nishita</v>
      </c>
      <c r="T4" t="str">
        <v>Product Management</v>
      </c>
      <c r="U4">
        <v>115191.38</v>
      </c>
      <c r="Z4" t="str">
        <v>SQ04612</v>
      </c>
      <c r="AA4" t="str">
        <v>Mick</v>
      </c>
      <c r="AB4" t="str">
        <v>Spraberry</v>
      </c>
      <c r="AC4" t="str">
        <v>Female</v>
      </c>
      <c r="AD4" t="str">
        <v>Services</v>
      </c>
      <c r="AE4">
        <v>120000</v>
      </c>
      <c r="AH4" t="str">
        <v>SQ04612</v>
      </c>
      <c r="AI4" t="str">
        <v>Mick</v>
      </c>
      <c r="AJ4" t="str">
        <v>Spraberry</v>
      </c>
      <c r="AK4" t="str">
        <v>Female</v>
      </c>
      <c r="AL4" t="str">
        <v>Services</v>
      </c>
      <c r="AM4">
        <v>120000</v>
      </c>
    </row>
    <row r="5" spans="2:39" x14ac:dyDescent="0.3">
      <c r="B5" t="str">
        <v>PR01159</v>
      </c>
      <c r="C5" t="str">
        <v>Mollie</v>
      </c>
      <c r="D5" t="str">
        <v>Hanway</v>
      </c>
      <c r="E5" t="str">
        <v>Male</v>
      </c>
      <c r="F5" t="str">
        <v>Engineering</v>
      </c>
      <c r="G5">
        <v>112645.99</v>
      </c>
      <c r="H5" t="str">
        <v>Above 100k</v>
      </c>
      <c r="I5" s="31">
        <v>43759</v>
      </c>
      <c r="J5">
        <v>0.6</v>
      </c>
      <c r="K5" t="str">
        <v>Permanent</v>
      </c>
      <c r="L5" t="str">
        <v>Seattle, USA</v>
      </c>
      <c r="M5">
        <v>4.6712328767123283</v>
      </c>
      <c r="N5" t="str">
        <v>Part time</v>
      </c>
      <c r="Q5" t="str">
        <v>PR03886</v>
      </c>
      <c r="R5" t="str">
        <v>Edd</v>
      </c>
      <c r="S5" t="str">
        <v>MacKnockiter</v>
      </c>
      <c r="T5" t="str">
        <v>Accounting</v>
      </c>
      <c r="U5">
        <v>119022.49</v>
      </c>
      <c r="Z5" t="str">
        <v>VT04093</v>
      </c>
      <c r="AA5" t="str">
        <v>Prasanna</v>
      </c>
      <c r="AB5" t="str">
        <v>Lakshmi</v>
      </c>
      <c r="AC5" t="str">
        <v>Female</v>
      </c>
      <c r="AD5" t="str">
        <v>Training</v>
      </c>
      <c r="AE5">
        <v>116767.63</v>
      </c>
      <c r="AH5" t="str">
        <v>VT04093</v>
      </c>
      <c r="AI5" t="str">
        <v>Prasanna</v>
      </c>
      <c r="AJ5" t="str">
        <v>Lakshmi</v>
      </c>
      <c r="AK5" t="str">
        <v>Female</v>
      </c>
      <c r="AL5" t="str">
        <v>Training</v>
      </c>
      <c r="AM5">
        <v>116767.63</v>
      </c>
    </row>
    <row r="6" spans="2:39" x14ac:dyDescent="0.3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>
        <v>115191.38</v>
      </c>
      <c r="H6" t="str">
        <v>Above 100k</v>
      </c>
      <c r="I6" s="31">
        <v>44004</v>
      </c>
      <c r="J6">
        <v>1</v>
      </c>
      <c r="K6" t="str">
        <v>Permanent</v>
      </c>
      <c r="L6" t="str">
        <v>Hyderabad, India</v>
      </c>
      <c r="M6">
        <v>4</v>
      </c>
      <c r="N6" t="str">
        <v>Full time</v>
      </c>
      <c r="Q6" t="str">
        <v>SQ00144</v>
      </c>
      <c r="R6" t="str">
        <v>Collen</v>
      </c>
      <c r="S6" t="str">
        <v>Dunbleton</v>
      </c>
      <c r="T6" t="str">
        <v>Engineering</v>
      </c>
      <c r="U6">
        <v>118976.16</v>
      </c>
      <c r="Z6" t="str">
        <v>VT04093</v>
      </c>
      <c r="AA6" t="str">
        <v>Baruna</v>
      </c>
      <c r="AB6" t="str">
        <v>Ogale</v>
      </c>
      <c r="AC6" t="str">
        <v>Female</v>
      </c>
      <c r="AD6" t="str">
        <v>Training</v>
      </c>
      <c r="AE6">
        <v>116767.63</v>
      </c>
      <c r="AH6" t="str">
        <v>VT04093</v>
      </c>
      <c r="AI6" t="str">
        <v>Baruna</v>
      </c>
      <c r="AJ6" t="str">
        <v>Ogale</v>
      </c>
      <c r="AK6" t="str">
        <v>Female</v>
      </c>
      <c r="AL6" t="str">
        <v>Training</v>
      </c>
      <c r="AM6">
        <v>116767.63</v>
      </c>
    </row>
    <row r="7" spans="2:39" x14ac:dyDescent="0.3">
      <c r="B7" t="str">
        <v>PR02208</v>
      </c>
      <c r="C7" t="str">
        <v>Gowri</v>
      </c>
      <c r="D7" t="str">
        <v>Sankar</v>
      </c>
      <c r="E7" t="str">
        <v>Female</v>
      </c>
      <c r="F7" t="str">
        <v>Training</v>
      </c>
      <c r="G7">
        <v>102934.09</v>
      </c>
      <c r="H7" t="str">
        <v>Above 100k</v>
      </c>
      <c r="I7" s="31">
        <v>44315</v>
      </c>
      <c r="J7">
        <v>1</v>
      </c>
      <c r="K7" t="str">
        <v>Permanent</v>
      </c>
      <c r="L7" t="str">
        <v>Hyderabad, India</v>
      </c>
      <c r="M7">
        <v>3.1479452054794521</v>
      </c>
      <c r="N7" t="str">
        <v>Full time</v>
      </c>
      <c r="Q7" t="str">
        <v>SQ02174</v>
      </c>
      <c r="R7" t="str">
        <v>Sidoney</v>
      </c>
      <c r="S7" t="str">
        <v>Yitzhok</v>
      </c>
      <c r="T7" t="str">
        <v>Engineering</v>
      </c>
      <c r="U7">
        <v>118442.54</v>
      </c>
    </row>
    <row r="8" spans="2:39" x14ac:dyDescent="0.3">
      <c r="B8" t="str">
        <v>PR02288</v>
      </c>
      <c r="C8" t="str">
        <v>Althea</v>
      </c>
      <c r="D8" t="str">
        <v>Bronger</v>
      </c>
      <c r="E8" t="str">
        <v>Male</v>
      </c>
      <c r="F8" t="str">
        <v>Product Management</v>
      </c>
      <c r="G8">
        <v>104335.03999999999</v>
      </c>
      <c r="H8" t="str">
        <v>Above 100k</v>
      </c>
      <c r="I8" s="31">
        <v>43874</v>
      </c>
      <c r="J8">
        <v>1</v>
      </c>
      <c r="K8" t="str">
        <v>Permanent</v>
      </c>
      <c r="L8" t="str">
        <v>Columbus, USA</v>
      </c>
      <c r="M8">
        <v>4.3561643835616435</v>
      </c>
      <c r="N8" t="str">
        <v>Full time</v>
      </c>
      <c r="Q8" t="str">
        <v>SQ04612</v>
      </c>
      <c r="R8" t="str">
        <v>Mick</v>
      </c>
      <c r="S8" t="str">
        <v>Spraberry</v>
      </c>
      <c r="T8" t="str">
        <v>Services</v>
      </c>
      <c r="U8">
        <v>120000</v>
      </c>
    </row>
    <row r="9" spans="2:39" x14ac:dyDescent="0.3">
      <c r="B9" t="str">
        <v>PR03886</v>
      </c>
      <c r="C9" t="str">
        <v>Edd</v>
      </c>
      <c r="D9" t="str">
        <v>MacKnockiter</v>
      </c>
      <c r="E9" t="str">
        <v>Male</v>
      </c>
      <c r="F9" t="str">
        <v>Accounting</v>
      </c>
      <c r="G9">
        <v>119022.49</v>
      </c>
      <c r="H9" t="str">
        <v>Above 100k</v>
      </c>
      <c r="I9" s="31">
        <v>44431</v>
      </c>
      <c r="J9">
        <v>1</v>
      </c>
      <c r="K9" t="str">
        <v>Permanent</v>
      </c>
      <c r="L9" t="str">
        <v>Auckland, New Zealand</v>
      </c>
      <c r="M9">
        <v>2.8301369863013699</v>
      </c>
      <c r="N9" t="str">
        <v>Full time</v>
      </c>
      <c r="Q9" t="str">
        <v>VT04093</v>
      </c>
      <c r="R9" t="str">
        <v>Prasanna</v>
      </c>
      <c r="S9" t="str">
        <v>Lakshmi</v>
      </c>
      <c r="T9" t="str">
        <v>Training</v>
      </c>
      <c r="U9">
        <v>116767.63</v>
      </c>
    </row>
    <row r="10" spans="2:39" x14ac:dyDescent="0.3">
      <c r="B10" t="str">
        <v>PR04601</v>
      </c>
      <c r="C10" t="str">
        <v>Yedukondalu</v>
      </c>
      <c r="D10" t="str">
        <v>Panditula</v>
      </c>
      <c r="E10" t="str">
        <v>Need to check</v>
      </c>
      <c r="F10" t="str">
        <v>Support</v>
      </c>
      <c r="G10">
        <v>104802.63</v>
      </c>
      <c r="H10" t="str">
        <v>Above 100k</v>
      </c>
      <c r="I10" s="31">
        <v>44502</v>
      </c>
      <c r="J10">
        <v>1</v>
      </c>
      <c r="K10" t="str">
        <v>Permanent</v>
      </c>
      <c r="L10" t="str">
        <v>Hyderabad, India</v>
      </c>
      <c r="M10">
        <v>2.6356164383561644</v>
      </c>
      <c r="N10" t="str">
        <v>Full time</v>
      </c>
      <c r="Q10" t="str">
        <v>VT04093</v>
      </c>
      <c r="R10" t="str">
        <v>Baruna</v>
      </c>
      <c r="S10" t="str">
        <v>Ogale</v>
      </c>
      <c r="T10" t="str">
        <v>Training</v>
      </c>
      <c r="U10">
        <v>116767.63</v>
      </c>
    </row>
    <row r="11" spans="2:39" x14ac:dyDescent="0.3">
      <c r="B11" t="str">
        <v>SQ00022</v>
      </c>
      <c r="C11" t="str">
        <v>Carlin</v>
      </c>
      <c r="D11" t="str">
        <v>Demke</v>
      </c>
      <c r="E11" t="str">
        <v>Male</v>
      </c>
      <c r="F11" t="str">
        <v>Business Development</v>
      </c>
      <c r="G11">
        <v>110042.37</v>
      </c>
      <c r="H11" t="str">
        <v>Above 100k</v>
      </c>
      <c r="I11" s="31">
        <v>43914</v>
      </c>
      <c r="J11">
        <v>1</v>
      </c>
      <c r="K11" t="str">
        <v>Permanent</v>
      </c>
      <c r="L11" t="str">
        <v>Columbus, USA</v>
      </c>
      <c r="M11">
        <v>4.2465753424657535</v>
      </c>
      <c r="N11" t="str">
        <v>Full time</v>
      </c>
    </row>
    <row r="12" spans="2:39" x14ac:dyDescent="0.3">
      <c r="B12" t="str">
        <v>SQ00144</v>
      </c>
      <c r="C12" t="str">
        <v>Collen</v>
      </c>
      <c r="D12" t="str">
        <v>Dunbleton</v>
      </c>
      <c r="E12" t="str">
        <v>Male</v>
      </c>
      <c r="F12" t="str">
        <v>Engineering</v>
      </c>
      <c r="G12">
        <v>118976.16</v>
      </c>
      <c r="H12" t="str">
        <v>Above 100k</v>
      </c>
      <c r="I12" s="31">
        <v>44120</v>
      </c>
      <c r="J12">
        <v>1</v>
      </c>
      <c r="K12" t="str">
        <v>Permanent</v>
      </c>
      <c r="L12" t="str">
        <v>Wellington, New Zealand</v>
      </c>
      <c r="M12">
        <v>3.6821917808219178</v>
      </c>
      <c r="N12" t="str">
        <v>Full time</v>
      </c>
    </row>
    <row r="13" spans="2:39" x14ac:dyDescent="0.3">
      <c r="B13" t="str">
        <v>SQ00498</v>
      </c>
      <c r="C13" t="str">
        <v>Amery</v>
      </c>
      <c r="D13" t="str">
        <v>Ofer</v>
      </c>
      <c r="E13" t="str">
        <v>Female</v>
      </c>
      <c r="F13" t="str">
        <v>Legal</v>
      </c>
      <c r="G13">
        <v>111049.84</v>
      </c>
      <c r="H13" t="str">
        <v>Above 100k</v>
      </c>
      <c r="I13" s="31">
        <v>44393</v>
      </c>
      <c r="J13">
        <v>1</v>
      </c>
      <c r="K13" t="str">
        <v>Permanent</v>
      </c>
      <c r="L13" t="str">
        <v>Wellington, New Zealand</v>
      </c>
      <c r="M13">
        <v>2.9342465753424656</v>
      </c>
      <c r="N13" t="str">
        <v>Full time</v>
      </c>
    </row>
    <row r="14" spans="2:39" x14ac:dyDescent="0.3">
      <c r="B14" t="str">
        <v>SQ01620</v>
      </c>
      <c r="C14" t="str">
        <v>Westbrook</v>
      </c>
      <c r="D14" t="str">
        <v>Brandino</v>
      </c>
      <c r="E14" t="str">
        <v>Male</v>
      </c>
      <c r="F14" t="str">
        <v>Legal</v>
      </c>
      <c r="G14">
        <v>113616.23</v>
      </c>
      <c r="H14" t="str">
        <v>Above 100k</v>
      </c>
      <c r="I14" s="31">
        <v>43255</v>
      </c>
      <c r="J14">
        <v>1</v>
      </c>
      <c r="K14" t="str">
        <v>Permanent</v>
      </c>
      <c r="L14" t="str">
        <v>Remote</v>
      </c>
      <c r="M14">
        <v>6.0520547945205481</v>
      </c>
      <c r="N14" t="str">
        <v>Full time</v>
      </c>
    </row>
    <row r="15" spans="2:39" x14ac:dyDescent="0.3">
      <c r="B15" t="str">
        <v>SQ02035</v>
      </c>
      <c r="C15" t="str">
        <v>Anni</v>
      </c>
      <c r="D15" t="str">
        <v>Izzard</v>
      </c>
      <c r="E15" t="str">
        <v>Male</v>
      </c>
      <c r="F15" t="str">
        <v>Human Resources</v>
      </c>
      <c r="G15">
        <v>103494.94</v>
      </c>
      <c r="H15" t="str">
        <v>Above 100k</v>
      </c>
      <c r="I15" s="31">
        <v>43256</v>
      </c>
      <c r="J15">
        <v>1</v>
      </c>
      <c r="K15" t="str">
        <v>Permanent</v>
      </c>
      <c r="L15" t="str">
        <v>Remote</v>
      </c>
      <c r="M15">
        <v>6.0493150684931507</v>
      </c>
      <c r="N15" t="str">
        <v>Full time</v>
      </c>
    </row>
    <row r="16" spans="2:39" x14ac:dyDescent="0.3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 s="31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 x14ac:dyDescent="0.3">
      <c r="B17" t="str">
        <v>SQ02174</v>
      </c>
      <c r="C17" t="str">
        <v>Sidoney</v>
      </c>
      <c r="D17" t="str">
        <v>Yitzhok</v>
      </c>
      <c r="E17" t="str">
        <v>Female</v>
      </c>
      <c r="F17" t="str">
        <v>Engineering</v>
      </c>
      <c r="G17">
        <v>118442.54</v>
      </c>
      <c r="H17" t="str">
        <v>Above 100k</v>
      </c>
      <c r="I17" s="31">
        <v>44193</v>
      </c>
      <c r="J17">
        <v>1</v>
      </c>
      <c r="K17" t="str">
        <v>Permanent</v>
      </c>
      <c r="L17" t="str">
        <v>Auckland, New Zealand</v>
      </c>
      <c r="M17">
        <v>3.4821917808219176</v>
      </c>
      <c r="N17" t="str">
        <v>Full time</v>
      </c>
    </row>
    <row r="18" spans="2:14" x14ac:dyDescent="0.3">
      <c r="B18" t="str">
        <v>SQ02624</v>
      </c>
      <c r="C18" t="str">
        <v>Gwenneth</v>
      </c>
      <c r="D18" t="str">
        <v>Fealey</v>
      </c>
      <c r="E18" t="str">
        <v>Female</v>
      </c>
      <c r="F18" t="str">
        <v>Engineering</v>
      </c>
      <c r="G18">
        <v>114772.32</v>
      </c>
      <c r="H18" t="str">
        <v>Above 100k</v>
      </c>
      <c r="I18" s="31">
        <v>44251</v>
      </c>
      <c r="J18">
        <v>1</v>
      </c>
      <c r="K18" t="str">
        <v>Permanent</v>
      </c>
      <c r="L18" t="str">
        <v>Columbus, USA</v>
      </c>
      <c r="M18">
        <v>3.3232876712328765</v>
      </c>
      <c r="N18" t="str">
        <v>Full time</v>
      </c>
    </row>
    <row r="19" spans="2:14" x14ac:dyDescent="0.3">
      <c r="B19" t="str">
        <v>SQ02703</v>
      </c>
      <c r="C19" t="str">
        <v>Deepit</v>
      </c>
      <c r="D19" t="str">
        <v>Ranjana</v>
      </c>
      <c r="E19" t="str">
        <v>Female</v>
      </c>
      <c r="F19" t="str">
        <v>Marketing</v>
      </c>
      <c r="G19">
        <v>104903.79</v>
      </c>
      <c r="H19" t="str">
        <v>Above 100k</v>
      </c>
      <c r="I19" s="31">
        <v>43649</v>
      </c>
      <c r="J19">
        <v>1</v>
      </c>
      <c r="K19" t="str">
        <v>Permanent</v>
      </c>
      <c r="L19" t="str">
        <v>Chennai, India</v>
      </c>
      <c r="M19">
        <v>4.9726027397260273</v>
      </c>
      <c r="N19" t="str">
        <v>Full time</v>
      </c>
    </row>
    <row r="20" spans="2:14" x14ac:dyDescent="0.3">
      <c r="B20" t="str">
        <v>SQ03116</v>
      </c>
      <c r="C20" t="str">
        <v>Syd</v>
      </c>
      <c r="D20" t="str">
        <v>Fearn</v>
      </c>
      <c r="E20" t="str">
        <v>Male</v>
      </c>
      <c r="F20" t="str">
        <v>Engineering</v>
      </c>
      <c r="G20">
        <v>108872.77</v>
      </c>
      <c r="H20" t="str">
        <v>Above 100k</v>
      </c>
      <c r="I20" s="31">
        <v>43521</v>
      </c>
      <c r="J20">
        <v>1</v>
      </c>
      <c r="K20" t="str">
        <v>Permanent</v>
      </c>
      <c r="L20" t="str">
        <v>Remote</v>
      </c>
      <c r="M20">
        <v>5.3232876712328769</v>
      </c>
      <c r="N20" t="str">
        <v>Full time</v>
      </c>
    </row>
    <row r="21" spans="2:14" x14ac:dyDescent="0.3">
      <c r="B21" t="str">
        <v>SQ03387</v>
      </c>
      <c r="C21" t="str">
        <v>Robinia</v>
      </c>
      <c r="D21" t="str">
        <v>Scholling</v>
      </c>
      <c r="E21" t="str">
        <v>Female</v>
      </c>
      <c r="F21" t="str">
        <v>Human Resources</v>
      </c>
      <c r="G21">
        <v>100731.95</v>
      </c>
      <c r="H21" t="str">
        <v>Above 100k</v>
      </c>
      <c r="I21" s="31">
        <v>43936</v>
      </c>
      <c r="J21">
        <v>1</v>
      </c>
      <c r="K21" t="str">
        <v>Permanent</v>
      </c>
      <c r="L21" t="str">
        <v>Auckland, New Zealand</v>
      </c>
      <c r="M21">
        <v>4.1863013698630134</v>
      </c>
      <c r="N21" t="str">
        <v>Full time</v>
      </c>
    </row>
    <row r="22" spans="2:14" x14ac:dyDescent="0.3">
      <c r="B22" t="str">
        <v>SQ03476</v>
      </c>
      <c r="C22" t="str">
        <v>Ramalingam</v>
      </c>
      <c r="D22" t="str">
        <v>Kothapeta</v>
      </c>
      <c r="E22" t="str">
        <v>Need to check</v>
      </c>
      <c r="F22" t="str">
        <v>Accounting</v>
      </c>
      <c r="G22">
        <v>107107.6</v>
      </c>
      <c r="H22" t="str">
        <v>Above 100k</v>
      </c>
      <c r="I22" s="31">
        <v>43325</v>
      </c>
      <c r="J22">
        <v>0.9</v>
      </c>
      <c r="K22" t="str">
        <v>Permanent</v>
      </c>
      <c r="L22" t="str">
        <v>Chennai, India</v>
      </c>
      <c r="M22">
        <v>5.86027397260274</v>
      </c>
      <c r="N22" t="str">
        <v>Part time</v>
      </c>
    </row>
    <row r="23" spans="2:14" x14ac:dyDescent="0.3">
      <c r="B23" t="str">
        <v>SQ03491</v>
      </c>
      <c r="C23" t="str">
        <v>Freda</v>
      </c>
      <c r="D23" t="str">
        <v>Legan</v>
      </c>
      <c r="E23" t="str">
        <v>Female</v>
      </c>
      <c r="F23" t="str">
        <v>Sales</v>
      </c>
      <c r="G23">
        <v>102129.37</v>
      </c>
      <c r="H23" t="str">
        <v>Above 100k</v>
      </c>
      <c r="I23" s="31">
        <v>44396</v>
      </c>
      <c r="J23">
        <v>1</v>
      </c>
      <c r="K23" t="str">
        <v>Permanent</v>
      </c>
      <c r="L23" t="str">
        <v>Columbus, USA</v>
      </c>
      <c r="M23">
        <v>2.9260273972602739</v>
      </c>
      <c r="N23" t="str">
        <v>Full time</v>
      </c>
    </row>
    <row r="24" spans="2:14" x14ac:dyDescent="0.3">
      <c r="B24" t="str">
        <v>SQ03733</v>
      </c>
      <c r="C24" t="str">
        <v>Revkah</v>
      </c>
      <c r="D24" t="str">
        <v>Antonacci</v>
      </c>
      <c r="E24" t="str">
        <v>Male</v>
      </c>
      <c r="F24" t="str">
        <v>Engineering</v>
      </c>
      <c r="G24">
        <v>109143.17</v>
      </c>
      <c r="H24" t="str">
        <v>Above 100k</v>
      </c>
      <c r="I24" s="31">
        <v>43945</v>
      </c>
      <c r="J24">
        <v>1</v>
      </c>
      <c r="K24" t="str">
        <v>Permanent</v>
      </c>
      <c r="L24" t="str">
        <v>Wellington, New Zealand</v>
      </c>
      <c r="M24">
        <v>4.161643835616438</v>
      </c>
      <c r="N24" t="str">
        <v>Full time</v>
      </c>
    </row>
    <row r="25" spans="2:14" x14ac:dyDescent="0.3">
      <c r="B25" t="str">
        <v>SQ04603</v>
      </c>
      <c r="C25" t="str">
        <v>Natalee</v>
      </c>
      <c r="D25" t="str">
        <v>Craiker</v>
      </c>
      <c r="E25" t="str">
        <v>Male</v>
      </c>
      <c r="F25" t="str">
        <v>Product Management</v>
      </c>
      <c r="G25">
        <v>111229.47</v>
      </c>
      <c r="H25" t="str">
        <v>Above 100k</v>
      </c>
      <c r="I25" s="31">
        <v>43402</v>
      </c>
      <c r="J25">
        <v>1</v>
      </c>
      <c r="K25" t="str">
        <v>Permanent</v>
      </c>
      <c r="L25" t="str">
        <v>Remote</v>
      </c>
      <c r="M25">
        <v>5.6493150684931503</v>
      </c>
      <c r="N25" t="str">
        <v>Full time</v>
      </c>
    </row>
    <row r="26" spans="2:14" x14ac:dyDescent="0.3">
      <c r="B26" t="str">
        <v>SQ04612</v>
      </c>
      <c r="C26" t="str">
        <v>Mick</v>
      </c>
      <c r="D26" t="str">
        <v>Spraberry</v>
      </c>
      <c r="E26" t="str">
        <v>Female</v>
      </c>
      <c r="F26" t="str">
        <v>Services</v>
      </c>
      <c r="G26">
        <v>120000</v>
      </c>
      <c r="H26" t="str">
        <v>Above 100k</v>
      </c>
      <c r="I26" s="31">
        <v>43902</v>
      </c>
      <c r="J26">
        <v>0.9</v>
      </c>
      <c r="K26" t="str">
        <v>Permanent</v>
      </c>
      <c r="L26" t="str">
        <v>Remote</v>
      </c>
      <c r="M26">
        <v>4.279452054794521</v>
      </c>
      <c r="N26" t="str">
        <v>Part time</v>
      </c>
    </row>
    <row r="27" spans="2:14" x14ac:dyDescent="0.3">
      <c r="B27" t="str">
        <v>SQ04665</v>
      </c>
      <c r="C27" t="str">
        <v>Collin</v>
      </c>
      <c r="D27" t="str">
        <v>Jagson</v>
      </c>
      <c r="E27" t="str">
        <v>Male</v>
      </c>
      <c r="F27" t="str">
        <v>Services</v>
      </c>
      <c r="G27">
        <v>100424.23</v>
      </c>
      <c r="H27" t="str">
        <v>Above 100k</v>
      </c>
      <c r="I27" s="31">
        <v>43801</v>
      </c>
      <c r="J27">
        <v>1</v>
      </c>
      <c r="K27" t="str">
        <v>Permanent</v>
      </c>
      <c r="L27" t="str">
        <v>Auckland, New Zealand</v>
      </c>
      <c r="M27">
        <v>4.5561643835616437</v>
      </c>
      <c r="N27" t="str">
        <v>Full time</v>
      </c>
    </row>
    <row r="28" spans="2:14" x14ac:dyDescent="0.3">
      <c r="B28" t="str">
        <v>TN00579</v>
      </c>
      <c r="C28" t="str">
        <v>Rafaelita</v>
      </c>
      <c r="D28" t="str">
        <v>Blaksland</v>
      </c>
      <c r="E28" t="str">
        <v>Female</v>
      </c>
      <c r="F28" t="str">
        <v>Services</v>
      </c>
      <c r="G28">
        <v>109163.39</v>
      </c>
      <c r="H28" t="str">
        <v>Above 100k</v>
      </c>
      <c r="I28" s="31">
        <v>44019</v>
      </c>
      <c r="J28">
        <v>0.8</v>
      </c>
      <c r="K28" t="str">
        <v>Permanent</v>
      </c>
      <c r="L28" t="str">
        <v>Seattle, USA</v>
      </c>
      <c r="M28">
        <v>3.9589041095890409</v>
      </c>
      <c r="N28" t="str">
        <v>Part time</v>
      </c>
    </row>
    <row r="29" spans="2:14" x14ac:dyDescent="0.3">
      <c r="B29" t="str">
        <v>TN01281</v>
      </c>
      <c r="C29" t="str">
        <v>Cletus</v>
      </c>
      <c r="D29" t="str">
        <v>McGarahan</v>
      </c>
      <c r="E29" t="str">
        <v>Female</v>
      </c>
      <c r="F29" t="str">
        <v>Engineering</v>
      </c>
      <c r="G29">
        <v>114425.19</v>
      </c>
      <c r="H29" t="str">
        <v>Above 100k</v>
      </c>
      <c r="I29" s="31">
        <v>43857</v>
      </c>
      <c r="J29">
        <v>1</v>
      </c>
      <c r="K29" t="str">
        <v>Permanent</v>
      </c>
      <c r="L29" t="str">
        <v>Wellington, New Zealand</v>
      </c>
      <c r="M29">
        <v>4.4027397260273968</v>
      </c>
      <c r="N29" t="str">
        <v>Full time</v>
      </c>
    </row>
    <row r="30" spans="2:14" x14ac:dyDescent="0.3">
      <c r="B30" t="str">
        <v>TN04058</v>
      </c>
      <c r="C30" t="str">
        <v>Subbarao</v>
      </c>
      <c r="D30" t="str">
        <v>Malladi</v>
      </c>
      <c r="E30" t="str">
        <v>Male</v>
      </c>
      <c r="F30" t="str">
        <v>Product Management</v>
      </c>
      <c r="G30">
        <v>106775.14</v>
      </c>
      <c r="H30" t="str">
        <v>Above 100k</v>
      </c>
      <c r="I30" s="31">
        <v>43563</v>
      </c>
      <c r="J30">
        <v>1</v>
      </c>
      <c r="K30" t="str">
        <v>Fixed Term</v>
      </c>
      <c r="L30" t="str">
        <v>Hyderabad, India</v>
      </c>
      <c r="M30">
        <v>5.2082191780821914</v>
      </c>
      <c r="N30" t="str">
        <v>Full time</v>
      </c>
    </row>
    <row r="31" spans="2:14" x14ac:dyDescent="0.3">
      <c r="B31" t="str">
        <v>TN04058</v>
      </c>
      <c r="C31" t="str">
        <v>Vasu</v>
      </c>
      <c r="D31" t="str">
        <v>Nandin</v>
      </c>
      <c r="E31" t="str">
        <v>Male</v>
      </c>
      <c r="F31" t="str">
        <v>Product Management</v>
      </c>
      <c r="G31">
        <v>106775.14</v>
      </c>
      <c r="H31" t="str">
        <v>Above 100k</v>
      </c>
      <c r="I31" s="31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 x14ac:dyDescent="0.3">
      <c r="B32" t="str">
        <v>TN04246</v>
      </c>
      <c r="C32" t="str">
        <v>Shaylyn</v>
      </c>
      <c r="D32" t="str">
        <v>Ransbury</v>
      </c>
      <c r="E32" t="str">
        <v>Female</v>
      </c>
      <c r="F32" t="str">
        <v>Support</v>
      </c>
      <c r="G32">
        <v>100371.31</v>
      </c>
      <c r="H32" t="str">
        <v>Above 100k</v>
      </c>
      <c r="I32" s="31">
        <v>44067</v>
      </c>
      <c r="J32">
        <v>0.8</v>
      </c>
      <c r="K32" t="str">
        <v>Fixed Term</v>
      </c>
      <c r="L32" t="str">
        <v>Auckland, New Zealand</v>
      </c>
      <c r="M32">
        <v>3.8273972602739725</v>
      </c>
      <c r="N32" t="str">
        <v>Part time</v>
      </c>
    </row>
    <row r="33" spans="2:14" x14ac:dyDescent="0.3">
      <c r="B33" t="str">
        <v>TN04740</v>
      </c>
      <c r="C33" t="str">
        <v>Tristam</v>
      </c>
      <c r="D33" t="str">
        <v>Cuming</v>
      </c>
      <c r="E33" t="str">
        <v>Female</v>
      </c>
      <c r="F33" t="str">
        <v>Support</v>
      </c>
      <c r="G33">
        <v>104038.9</v>
      </c>
      <c r="H33" t="str">
        <v>Above 100k</v>
      </c>
      <c r="I33" s="31">
        <v>43815</v>
      </c>
      <c r="J33">
        <v>1</v>
      </c>
      <c r="K33" t="str">
        <v>Fixed Term</v>
      </c>
      <c r="L33" t="str">
        <v>Remote</v>
      </c>
      <c r="M33">
        <v>4.5178082191780824</v>
      </c>
      <c r="N33" t="str">
        <v>Full time</v>
      </c>
    </row>
    <row r="34" spans="2:14" x14ac:dyDescent="0.3">
      <c r="B34" t="str">
        <v>VT01684</v>
      </c>
      <c r="C34" t="str">
        <v>Audry</v>
      </c>
      <c r="D34" t="str">
        <v>Yu</v>
      </c>
      <c r="E34" t="str">
        <v>Female</v>
      </c>
      <c r="F34" t="str">
        <v>Training</v>
      </c>
      <c r="G34">
        <v>101187.36</v>
      </c>
      <c r="H34" t="str">
        <v>Above 100k</v>
      </c>
      <c r="I34" s="31">
        <v>43258</v>
      </c>
      <c r="J34">
        <v>1</v>
      </c>
      <c r="K34" t="str">
        <v>Fixed Term</v>
      </c>
      <c r="L34" t="str">
        <v>Columbus, USA</v>
      </c>
      <c r="M34">
        <v>6.043835616438356</v>
      </c>
      <c r="N34" t="str">
        <v>Full time</v>
      </c>
    </row>
    <row r="35" spans="2:14" x14ac:dyDescent="0.3">
      <c r="B35" t="str">
        <v>VT01762</v>
      </c>
      <c r="C35" t="str">
        <v>Geena</v>
      </c>
      <c r="D35" t="str">
        <v>Raghavanpillai</v>
      </c>
      <c r="E35" t="str">
        <v>Male</v>
      </c>
      <c r="F35" t="str">
        <v>Accounting</v>
      </c>
      <c r="G35">
        <v>102515.81</v>
      </c>
      <c r="H35" t="str">
        <v>Above 100k</v>
      </c>
      <c r="I35" s="31">
        <v>43902</v>
      </c>
      <c r="J35">
        <v>1</v>
      </c>
      <c r="K35" t="str">
        <v>Fixed Term</v>
      </c>
      <c r="L35" t="str">
        <v>Chennai, India</v>
      </c>
      <c r="M35">
        <v>4.279452054794521</v>
      </c>
      <c r="N35" t="str">
        <v>Full time</v>
      </c>
    </row>
    <row r="36" spans="2:14" x14ac:dyDescent="0.3">
      <c r="B36" t="str">
        <v>VT01893</v>
      </c>
      <c r="C36" t="str">
        <v>Lindy</v>
      </c>
      <c r="D36" t="str">
        <v>Guillet</v>
      </c>
      <c r="E36" t="str">
        <v>Male</v>
      </c>
      <c r="F36" t="str">
        <v>Training</v>
      </c>
      <c r="G36">
        <v>112778.28</v>
      </c>
      <c r="H36" t="str">
        <v>Above 100k</v>
      </c>
      <c r="I36" s="31">
        <v>43250</v>
      </c>
      <c r="J36">
        <v>1</v>
      </c>
      <c r="K36" t="str">
        <v>Fixed Term</v>
      </c>
      <c r="L36" t="str">
        <v>Remote</v>
      </c>
      <c r="M36">
        <v>6.065753424657534</v>
      </c>
      <c r="N36" t="str">
        <v>Full time</v>
      </c>
    </row>
    <row r="37" spans="2:14" x14ac:dyDescent="0.3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 s="31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3">
      <c r="B38" t="str">
        <v>VT02491</v>
      </c>
      <c r="C38" t="str">
        <v>Alexis</v>
      </c>
      <c r="D38" t="str">
        <v>Gotfrey</v>
      </c>
      <c r="E38" t="str">
        <v>Male</v>
      </c>
      <c r="F38" t="str">
        <v>Engineering</v>
      </c>
      <c r="G38">
        <v>114465.93</v>
      </c>
      <c r="H38" t="str">
        <v>Above 100k</v>
      </c>
      <c r="I38" s="31">
        <v>43291</v>
      </c>
      <c r="J38">
        <v>1</v>
      </c>
      <c r="K38" t="str">
        <v>Temporary</v>
      </c>
      <c r="L38" t="str">
        <v>Wellington, New Zealand</v>
      </c>
      <c r="M38">
        <v>5.9534246575342467</v>
      </c>
      <c r="N38" t="str">
        <v>Full time</v>
      </c>
    </row>
    <row r="39" spans="2:14" x14ac:dyDescent="0.3">
      <c r="B39" t="str">
        <v>VT02801</v>
      </c>
      <c r="C39" t="str">
        <v>Shellysheldon</v>
      </c>
      <c r="D39" t="str">
        <v>Mahady</v>
      </c>
      <c r="E39" t="str">
        <v>Male</v>
      </c>
      <c r="F39" t="str">
        <v>Training</v>
      </c>
      <c r="G39">
        <v>114691.03</v>
      </c>
      <c r="H39" t="str">
        <v>Above 100k</v>
      </c>
      <c r="I39" s="31">
        <v>44039</v>
      </c>
      <c r="J39">
        <v>1</v>
      </c>
      <c r="K39" t="str">
        <v>Temporary</v>
      </c>
      <c r="L39" t="str">
        <v>Wellington, New Zealand</v>
      </c>
      <c r="M39">
        <v>3.904109589041096</v>
      </c>
      <c r="N39" t="str">
        <v>Full time</v>
      </c>
    </row>
    <row r="40" spans="2:14" x14ac:dyDescent="0.3">
      <c r="B40" t="str">
        <v>VT03421</v>
      </c>
      <c r="C40" t="str">
        <v>Alic</v>
      </c>
      <c r="D40" t="str">
        <v>Bagg</v>
      </c>
      <c r="E40" t="str">
        <v>Male</v>
      </c>
      <c r="F40" t="str">
        <v>Legal</v>
      </c>
      <c r="G40">
        <v>113747.56</v>
      </c>
      <c r="H40" t="str">
        <v>Above 100k</v>
      </c>
      <c r="I40" s="31">
        <v>44270</v>
      </c>
      <c r="J40">
        <v>0.7</v>
      </c>
      <c r="K40" t="str">
        <v>Temporary</v>
      </c>
      <c r="L40" t="str">
        <v>Columbus, USA</v>
      </c>
      <c r="M40">
        <v>3.2712328767123289</v>
      </c>
      <c r="N40" t="str">
        <v>Part time</v>
      </c>
    </row>
    <row r="41" spans="2:14" x14ac:dyDescent="0.3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 s="31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3">
      <c r="B42" t="str">
        <v>VT04028</v>
      </c>
      <c r="C42" t="str">
        <v>Michale</v>
      </c>
      <c r="D42" t="str">
        <v>Rolf</v>
      </c>
      <c r="E42" t="str">
        <v>Male</v>
      </c>
      <c r="F42" t="str">
        <v>Services</v>
      </c>
      <c r="G42">
        <v>111815.49</v>
      </c>
      <c r="H42" t="str">
        <v>Above 100k</v>
      </c>
      <c r="I42" s="31">
        <v>43895</v>
      </c>
      <c r="J42">
        <v>0.7</v>
      </c>
      <c r="K42" t="str">
        <v>Temporary</v>
      </c>
      <c r="L42" t="str">
        <v>Remote</v>
      </c>
      <c r="M42">
        <v>4.2986301369863016</v>
      </c>
      <c r="N42" t="str">
        <v>Part time</v>
      </c>
    </row>
    <row r="43" spans="2:14" x14ac:dyDescent="0.3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 s="31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3">
      <c r="B44" t="str">
        <v>VT04093</v>
      </c>
      <c r="C44" t="str">
        <v>Prasanna</v>
      </c>
      <c r="D44" t="str">
        <v>Lakshmi</v>
      </c>
      <c r="E44" t="str">
        <v>Female</v>
      </c>
      <c r="F44" t="str">
        <v>Training</v>
      </c>
      <c r="G44">
        <v>116767.63</v>
      </c>
      <c r="H44" t="str">
        <v>Above 100k</v>
      </c>
      <c r="I44" s="31">
        <v>43949</v>
      </c>
      <c r="J44">
        <v>0.4</v>
      </c>
      <c r="K44" t="str">
        <v>Temporary</v>
      </c>
      <c r="L44" t="str">
        <v>Chennai, India</v>
      </c>
      <c r="M44">
        <v>4.1506849315068495</v>
      </c>
      <c r="N44" t="str">
        <v>Part time</v>
      </c>
    </row>
    <row r="45" spans="2:14" x14ac:dyDescent="0.3">
      <c r="B45" t="str">
        <v>VT04093</v>
      </c>
      <c r="C45" t="str">
        <v>Baruna</v>
      </c>
      <c r="D45" t="str">
        <v>Ogale</v>
      </c>
      <c r="E45" t="str">
        <v>Female</v>
      </c>
      <c r="F45" t="str">
        <v>Training</v>
      </c>
      <c r="G45">
        <v>116767.63</v>
      </c>
      <c r="H45" t="str">
        <v>Above 100k</v>
      </c>
      <c r="I45" s="31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3">
      <c r="B46" t="str">
        <v>VT04350</v>
      </c>
      <c r="C46" t="str">
        <v>Kulbhushan</v>
      </c>
      <c r="D46" t="str">
        <v>Moorthy</v>
      </c>
      <c r="E46" t="str">
        <v>Male</v>
      </c>
      <c r="F46" t="str">
        <v>Business Development</v>
      </c>
      <c r="G46">
        <v>106400.02</v>
      </c>
      <c r="H46" t="str">
        <v>Above 100k</v>
      </c>
      <c r="I46" s="31">
        <v>44021</v>
      </c>
      <c r="J46">
        <v>1</v>
      </c>
      <c r="K46" t="str">
        <v>Temporary</v>
      </c>
      <c r="L46" t="str">
        <v>Chennai, India</v>
      </c>
      <c r="M46">
        <v>3.9534246575342467</v>
      </c>
      <c r="N46" t="str">
        <v>Full time</v>
      </c>
    </row>
    <row r="47" spans="2:14" x14ac:dyDescent="0.3">
      <c r="B47" t="str">
        <v>VT04350</v>
      </c>
      <c r="C47" t="str">
        <v>Lalit</v>
      </c>
      <c r="D47" t="str">
        <v>Kothari</v>
      </c>
      <c r="E47" t="str">
        <v>Male</v>
      </c>
      <c r="F47" t="str">
        <v>Business Development</v>
      </c>
      <c r="G47">
        <v>106400.02</v>
      </c>
      <c r="H47" t="str">
        <v>Above 100k</v>
      </c>
      <c r="I47" s="31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3">
      <c r="B48" t="str">
        <v>VT04552</v>
      </c>
      <c r="C48" t="str">
        <v>Theresita</v>
      </c>
      <c r="D48" t="str">
        <v>Chasmer</v>
      </c>
      <c r="E48" t="str">
        <v>Female</v>
      </c>
      <c r="F48" t="str">
        <v>Product Management</v>
      </c>
      <c r="G48">
        <v>106665.67</v>
      </c>
      <c r="H48" t="str">
        <v>Above 100k</v>
      </c>
      <c r="I48" s="31">
        <v>43311</v>
      </c>
      <c r="J48">
        <v>1</v>
      </c>
      <c r="K48" t="str">
        <v>Temporary</v>
      </c>
      <c r="L48" t="str">
        <v>Columbus, USA</v>
      </c>
      <c r="M48">
        <v>5.8986301369863012</v>
      </c>
      <c r="N48" t="str">
        <v>Full time</v>
      </c>
    </row>
    <row r="49" spans="2:14" x14ac:dyDescent="0.3">
      <c r="B49" t="str">
        <v>VT04681</v>
      </c>
      <c r="C49" t="str">
        <v>Nickolai</v>
      </c>
      <c r="D49" t="str">
        <v>Artin</v>
      </c>
      <c r="E49" t="str">
        <v>Female</v>
      </c>
      <c r="F49" t="str">
        <v>Product Management</v>
      </c>
      <c r="G49">
        <v>110906.35</v>
      </c>
      <c r="H49" t="str">
        <v>Above 100k</v>
      </c>
      <c r="I49" s="31">
        <v>43434</v>
      </c>
      <c r="J49">
        <v>1</v>
      </c>
      <c r="K49" t="str">
        <v>Temporary</v>
      </c>
      <c r="L49" t="str">
        <v>Wellington, New Zealand</v>
      </c>
      <c r="M49">
        <v>5.5616438356164384</v>
      </c>
      <c r="N49" t="str">
        <v>Full time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Concepts</vt:lpstr>
      <vt:lpstr>Data</vt:lpstr>
      <vt:lpstr>SUMifs COuntifs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OMKAR PATIL</cp:lastModifiedBy>
  <dcterms:created xsi:type="dcterms:W3CDTF">2021-03-14T20:21:32Z</dcterms:created>
  <dcterms:modified xsi:type="dcterms:W3CDTF">2026-10-29T11:58:27Z</dcterms:modified>
</cp:coreProperties>
</file>